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json\OneDrive\Escritorio\Programacion\Vba\"/>
    </mc:Choice>
  </mc:AlternateContent>
  <xr:revisionPtr revIDLastSave="0" documentId="8_{573774F9-D9D0-4CF1-A9A2-B51C0BE88452}" xr6:coauthVersionLast="46" xr6:coauthVersionMax="46" xr10:uidLastSave="{00000000-0000-0000-0000-000000000000}"/>
  <bookViews>
    <workbookView xWindow="-120" yWindow="-120" windowWidth="19755" windowHeight="11760" xr2:uid="{00000000-000D-0000-FFFF-FFFF00000000}"/>
  </bookViews>
  <sheets>
    <sheet name="EDS" sheetId="17" r:id="rId1"/>
    <sheet name="4." sheetId="8" r:id="rId2"/>
    <sheet name="Original" sheetId="2" r:id="rId3"/>
    <sheet name="APU" sheetId="2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" i="17" l="1"/>
  <c r="W5" i="17"/>
  <c r="W6" i="17"/>
  <c r="V7" i="17"/>
  <c r="W7" i="17" l="1"/>
  <c r="H193" i="8"/>
  <c r="I195" i="8" s="1"/>
  <c r="C191" i="8"/>
  <c r="H18" i="8"/>
  <c r="I20" i="8" s="1"/>
  <c r="D16" i="8"/>
  <c r="C16" i="8"/>
  <c r="D11" i="8"/>
  <c r="C11" i="8"/>
  <c r="D6" i="8"/>
  <c r="C6" i="8"/>
  <c r="H129" i="8" l="1"/>
  <c r="H91" i="8"/>
  <c r="H89" i="8"/>
  <c r="H87" i="8"/>
  <c r="H188" i="8" l="1"/>
  <c r="H180" i="8"/>
  <c r="H179" i="8"/>
  <c r="H177" i="8"/>
  <c r="H175" i="8"/>
  <c r="D121" i="8"/>
  <c r="D116" i="8"/>
  <c r="D144" i="8"/>
  <c r="D162" i="8"/>
  <c r="I148" i="8"/>
  <c r="C144" i="8"/>
  <c r="D184" i="8" l="1"/>
  <c r="D191" i="8" s="1"/>
  <c r="I189" i="8"/>
  <c r="C184" i="8"/>
  <c r="D170" i="8"/>
  <c r="C170" i="8"/>
  <c r="H105" i="8"/>
  <c r="I106" i="8" s="1"/>
  <c r="G98" i="8"/>
  <c r="H85" i="8"/>
  <c r="H77" i="8"/>
  <c r="H59" i="8"/>
  <c r="H57" i="8"/>
  <c r="H55" i="8"/>
  <c r="H53" i="8"/>
  <c r="H51" i="8"/>
  <c r="H49" i="8"/>
  <c r="I130" i="8"/>
  <c r="I93" i="8" l="1"/>
  <c r="I182" i="8"/>
  <c r="H158" i="8" l="1"/>
  <c r="H156" i="8"/>
  <c r="H154" i="8"/>
  <c r="D152" i="8"/>
  <c r="C152" i="8"/>
  <c r="D134" i="8"/>
  <c r="I160" i="8" l="1"/>
  <c r="H24" i="8"/>
  <c r="C63" i="8" l="1"/>
  <c r="D63" i="8"/>
  <c r="H140" i="8" l="1"/>
  <c r="H138" i="8"/>
  <c r="H136" i="8"/>
  <c r="C134" i="8"/>
  <c r="H42" i="8"/>
  <c r="H40" i="8"/>
  <c r="H38" i="8"/>
  <c r="H36" i="8"/>
  <c r="H34" i="8"/>
  <c r="H32" i="8"/>
  <c r="H30" i="8"/>
  <c r="H26" i="8"/>
  <c r="I142" i="8" l="1"/>
  <c r="H110" i="8" l="1"/>
  <c r="I112" i="8" s="1"/>
  <c r="H164" i="8"/>
  <c r="I166" i="8" s="1"/>
  <c r="D108" i="8"/>
  <c r="C108" i="8"/>
  <c r="C162" i="8"/>
  <c r="D95" i="8"/>
  <c r="C95" i="8"/>
  <c r="C121" i="8"/>
  <c r="H28" i="8" l="1"/>
  <c r="D4" i="17" l="1"/>
  <c r="S18" i="17" l="1"/>
  <c r="S9" i="17"/>
  <c r="S12" i="17"/>
  <c r="S16" i="17"/>
  <c r="S10" i="17"/>
  <c r="S13" i="17"/>
  <c r="S15" i="17"/>
  <c r="S6" i="17"/>
  <c r="S17" i="17"/>
  <c r="S8" i="17"/>
  <c r="S5" i="17"/>
  <c r="S7" i="17"/>
  <c r="S14" i="17"/>
  <c r="S11" i="17"/>
  <c r="S4" i="17"/>
  <c r="I61" i="8" l="1"/>
  <c r="D46" i="8"/>
  <c r="C46" i="8"/>
  <c r="C116" i="8"/>
  <c r="I44" i="8"/>
  <c r="D22" i="8"/>
  <c r="C22" i="8"/>
  <c r="H8" i="8" l="1"/>
  <c r="I9" i="8" s="1"/>
  <c r="H13" i="8"/>
  <c r="I14" i="8" s="1"/>
  <c r="H118" i="8"/>
  <c r="I119" i="8" s="1"/>
  <c r="I39" i="2"/>
  <c r="D34" i="2"/>
  <c r="C34" i="2"/>
  <c r="I113" i="2" l="1"/>
  <c r="D108" i="2"/>
  <c r="C108" i="2"/>
  <c r="I106" i="2"/>
  <c r="D101" i="2"/>
  <c r="C101" i="2"/>
  <c r="I99" i="2"/>
  <c r="D94" i="2"/>
  <c r="C94" i="2"/>
  <c r="I92" i="2"/>
  <c r="E87" i="2"/>
  <c r="E94" i="2" s="1"/>
  <c r="E101" i="2" s="1"/>
  <c r="E108" i="2" s="1"/>
  <c r="D87" i="2"/>
  <c r="C87" i="2"/>
  <c r="I85" i="2"/>
  <c r="D80" i="2"/>
  <c r="C80" i="2"/>
  <c r="I76" i="2"/>
  <c r="D71" i="2"/>
  <c r="C71" i="2"/>
  <c r="I69" i="2"/>
  <c r="D64" i="2"/>
  <c r="C64" i="2"/>
  <c r="I62" i="2"/>
  <c r="D57" i="2"/>
  <c r="C57" i="2"/>
  <c r="I55" i="2"/>
  <c r="E50" i="2"/>
  <c r="E57" i="2" s="1"/>
  <c r="E64" i="2" s="1"/>
  <c r="E71" i="2" s="1"/>
  <c r="D50" i="2"/>
  <c r="C50" i="2"/>
  <c r="I48" i="2"/>
  <c r="D43" i="2"/>
  <c r="C43" i="2"/>
  <c r="I32" i="2"/>
  <c r="D27" i="2"/>
  <c r="C27" i="2"/>
  <c r="I25" i="2"/>
  <c r="D20" i="2"/>
  <c r="C20" i="2"/>
  <c r="I18" i="2"/>
  <c r="E13" i="2"/>
  <c r="E20" i="2" s="1"/>
  <c r="E27" i="2" s="1"/>
  <c r="E34" i="2" s="1"/>
  <c r="D13" i="2"/>
  <c r="C13" i="2"/>
  <c r="I11" i="2"/>
  <c r="D6" i="2"/>
  <c r="C6" i="2"/>
</calcChain>
</file>

<file path=xl/sharedStrings.xml><?xml version="1.0" encoding="utf-8"?>
<sst xmlns="http://schemas.openxmlformats.org/spreadsheetml/2006/main" count="1273" uniqueCount="428">
  <si>
    <t>Ítem:</t>
  </si>
  <si>
    <t>UND:</t>
  </si>
  <si>
    <t>Origen</t>
  </si>
  <si>
    <t>Operación</t>
  </si>
  <si>
    <t>Rep.</t>
  </si>
  <si>
    <t>SBTTL</t>
  </si>
  <si>
    <t>TTL</t>
  </si>
  <si>
    <t>Total</t>
  </si>
  <si>
    <t>Aptos Tipo A</t>
  </si>
  <si>
    <t>2.</t>
  </si>
  <si>
    <t>1.</t>
  </si>
  <si>
    <t>3.</t>
  </si>
  <si>
    <t>Aptos Tipo B</t>
  </si>
  <si>
    <t>Apto Tipo C</t>
  </si>
  <si>
    <t>8.</t>
  </si>
  <si>
    <t>9.</t>
  </si>
  <si>
    <t>ESTRUCTURA</t>
  </si>
  <si>
    <t>4.</t>
  </si>
  <si>
    <t>5.</t>
  </si>
  <si>
    <t>6.</t>
  </si>
  <si>
    <t>Edificio</t>
  </si>
  <si>
    <t>(1-5)(B)</t>
  </si>
  <si>
    <t>(1)(B-E)</t>
  </si>
  <si>
    <t>10.</t>
  </si>
  <si>
    <t>(2)(E-H)</t>
  </si>
  <si>
    <t>(2)(B)</t>
  </si>
  <si>
    <t>Oeste de edificio</t>
  </si>
  <si>
    <t>(1-2)(E )</t>
  </si>
  <si>
    <t>(5)(B-H)</t>
  </si>
  <si>
    <t>Este de edificio</t>
  </si>
  <si>
    <t>(1-5)(A-B)</t>
  </si>
  <si>
    <t>(1-5)(H-I)</t>
  </si>
  <si>
    <t>(1-3)(B-H)</t>
  </si>
  <si>
    <t>7.</t>
  </si>
  <si>
    <t>Codigo</t>
  </si>
  <si>
    <t>UM</t>
  </si>
  <si>
    <t>Escalera en concreto  </t>
  </si>
  <si>
    <t>Consumibles estructura  </t>
  </si>
  <si>
    <t>Acero 60000 psi estructura  </t>
  </si>
  <si>
    <t>Malla electrosoldada estructura  </t>
  </si>
  <si>
    <t>11.</t>
  </si>
  <si>
    <t>12.</t>
  </si>
  <si>
    <t>13.</t>
  </si>
  <si>
    <t>Elemento</t>
  </si>
  <si>
    <t>Apto Tipo A</t>
  </si>
  <si>
    <t>Apto Tipo B</t>
  </si>
  <si>
    <t>Total Edificio</t>
  </si>
  <si>
    <t>Pisos</t>
  </si>
  <si>
    <t>Total piso</t>
  </si>
  <si>
    <t>Planta</t>
  </si>
  <si>
    <t>kg</t>
  </si>
  <si>
    <t>un</t>
  </si>
  <si>
    <t>ml</t>
  </si>
  <si>
    <t>m3</t>
  </si>
  <si>
    <t>m2</t>
  </si>
  <si>
    <t>Costos Directos</t>
  </si>
  <si>
    <t>Nivel</t>
  </si>
  <si>
    <t>Descripción</t>
  </si>
  <si>
    <t>-</t>
  </si>
  <si>
    <t>(1.69+1.26)/2*5.05+1.32*2.40+1.20*10.38+(1.57+1.08)/2*5.75+1.20*2.35+0.22*2.60</t>
  </si>
  <si>
    <t>Pasillo oeste en el eje indicado, incluye descanso de escalera a nivel de placa, no cuenta espacio ascensor</t>
  </si>
  <si>
    <t>2.90*1.15</t>
  </si>
  <si>
    <t>(1.13+1.27)/2*5.75+1.20*5.53+(1.30+1.44)/2*5.77+2.34*1.20+0.22*2.60</t>
  </si>
  <si>
    <t>Pasillo este en el eje indicado, incluye descanso de escalera a nivel de placa, no cuenta espacio ascensor</t>
  </si>
  <si>
    <t>(1.72+1.20)/2*24.60+1.72*0.15/2</t>
  </si>
  <si>
    <t>Pasillo norte en el eje dado</t>
  </si>
  <si>
    <t>(4-5)(B-H)</t>
  </si>
  <si>
    <t>5.75*39.73-1.15*1.56*5</t>
  </si>
  <si>
    <t>(1.18+1.34)/2*18.22+(1.34+1.30)/2*12.05+(1.30+1.25)/2*10.81+(1.25+1.19)/2*5.80+0.10*1.17</t>
  </si>
  <si>
    <t>1.21*24.94+0.63*2.41</t>
  </si>
  <si>
    <t>(1-2)(F-J)</t>
  </si>
  <si>
    <t>10.13+3.50*PI()/2</t>
  </si>
  <si>
    <t>16.85</t>
  </si>
  <si>
    <t>(1-5)(A-J)</t>
  </si>
  <si>
    <t>(1)(A-J)</t>
  </si>
  <si>
    <t>(5)(A-J)</t>
  </si>
  <si>
    <t>Muro ascensores</t>
  </si>
  <si>
    <t>mL</t>
  </si>
  <si>
    <t>(5)(C )</t>
  </si>
  <si>
    <t>(2.00*2+2.60)*0.30*2.40</t>
  </si>
  <si>
    <t>(4)(C )</t>
  </si>
  <si>
    <t>(4)(H)</t>
  </si>
  <si>
    <t>5.76*23.92</t>
  </si>
  <si>
    <t>9.86*19.35+5.75*23.80+(4.25+4.37)/2*9.74</t>
  </si>
  <si>
    <t>(1-5)(A-E)</t>
  </si>
  <si>
    <t>(1-5)(E-J)</t>
  </si>
  <si>
    <t>23.64*29.83+31.82*0.68/2+23.41*1.99/2</t>
  </si>
  <si>
    <t>23.63*32.00+0.55*32.00/2+23.41*0.56/2</t>
  </si>
  <si>
    <t>Mas menos</t>
  </si>
  <si>
    <t>29.83*0.21/2</t>
  </si>
  <si>
    <t>Columnas en concreto 0.80x0.30</t>
  </si>
  <si>
    <t>Oficina fundación</t>
  </si>
  <si>
    <t>NOTA: las áreas se calcularon usando líneas sobre el plano usando AutoCAD dando excedentes</t>
  </si>
  <si>
    <t>Área sur de edificio</t>
  </si>
  <si>
    <t>Sótano 1</t>
  </si>
  <si>
    <t>Sótano 2</t>
  </si>
  <si>
    <t>Área oeste de edificio</t>
  </si>
  <si>
    <t>Pasillo el  eje indicado</t>
  </si>
  <si>
    <t>Área este de edificio</t>
  </si>
  <si>
    <t>Área norte de edificio</t>
  </si>
  <si>
    <t>Sótano 3</t>
  </si>
  <si>
    <t>Tanque de agua</t>
  </si>
  <si>
    <t>Tanque concreto - Tanque de agua</t>
  </si>
  <si>
    <t>Acero 60000 psi estructura - Tanque de agua</t>
  </si>
  <si>
    <t>(2)(A-J)</t>
  </si>
  <si>
    <t>(3)(A-J)</t>
  </si>
  <si>
    <t>(4)(A-J)</t>
  </si>
  <si>
    <t>(5')(A-J)</t>
  </si>
  <si>
    <t>Columnas sobre el eje indicado</t>
  </si>
  <si>
    <t>Calculo aproximado de acero:</t>
  </si>
  <si>
    <t>Placa rampa acceso vehicular</t>
  </si>
  <si>
    <t>24.16*5.78</t>
  </si>
  <si>
    <t>Tiene el mismo diseño que la placa aligerada de contrapiso de la tabla 4.5.4</t>
  </si>
  <si>
    <t>Altura libre entre placas: 2.40</t>
  </si>
  <si>
    <t>Columnas sobre el eje indicado y las que estan bajo esta</t>
  </si>
  <si>
    <t>Columnas sobre el eje indicado y las que estan sobre esta</t>
  </si>
  <si>
    <t>Placa aligerada entrepiso e=0.50m 3000 psi</t>
  </si>
  <si>
    <t>1056.34*6=7394.4</t>
  </si>
  <si>
    <t>Placa aligerada e=.50cm 3000 psi  cubierta</t>
  </si>
  <si>
    <t>Volumen total de escaleras de edificio (3 und x piso)</t>
  </si>
  <si>
    <t>Area de escalon (Huella*contrahuella/2):</t>
  </si>
  <si>
    <t>Volumen escalon (Area escalon*Ancho)</t>
  </si>
  <si>
    <t>Volumen de escalera (Volumen escalon*No escalones)</t>
  </si>
  <si>
    <t>Peso malla electrosoldada:</t>
  </si>
  <si>
    <t>Se considera una malla M-2.21 de 6.5mm</t>
  </si>
  <si>
    <t>Area malla (2.35x6.00)=3.52</t>
  </si>
  <si>
    <t>Area dada en el calculo de placa aligerada de contrapiso en la tabla 4.5.4=1056.34</t>
  </si>
  <si>
    <t>Peso malla=49.6</t>
  </si>
  <si>
    <t>Peso/m2=49.6/3.52=3.52</t>
  </si>
  <si>
    <t>Escalones</t>
  </si>
  <si>
    <t>Huella: 0.28m</t>
  </si>
  <si>
    <t>No escalones: 14</t>
  </si>
  <si>
    <t>Espesor: 0.12m</t>
  </si>
  <si>
    <t>Contrahuella: 0.169m</t>
  </si>
  <si>
    <t>Ancho: 1.17m</t>
  </si>
  <si>
    <t>Volumen:</t>
  </si>
  <si>
    <t>Longitud 1 y 2: 1.96m</t>
  </si>
  <si>
    <t>0.12*1.17*1.96*2=0.5504</t>
  </si>
  <si>
    <r>
      <t>Placas de entrepiso:</t>
    </r>
    <r>
      <rPr>
        <sz val="12"/>
        <color theme="1"/>
        <rFont val="Arial"/>
        <family val="2"/>
      </rPr>
      <t xml:space="preserve"> 1056.34</t>
    </r>
  </si>
  <si>
    <r>
      <t xml:space="preserve">Placa de cubierta: </t>
    </r>
    <r>
      <rPr>
        <sz val="12"/>
        <color theme="1"/>
        <rFont val="Arial"/>
        <family val="2"/>
      </rPr>
      <t>1056.34</t>
    </r>
  </si>
  <si>
    <r>
      <t xml:space="preserve">Columnas: </t>
    </r>
    <r>
      <rPr>
        <sz val="12"/>
        <color theme="1"/>
        <rFont val="Arial"/>
        <family val="2"/>
      </rPr>
      <t>169.34</t>
    </r>
  </si>
  <si>
    <t>NOTA: se toma un factor de taslapo de 1.15</t>
  </si>
  <si>
    <t>NOTA: se toma el CL de la rampa</t>
  </si>
  <si>
    <t>0.28*0.169/2=0.0237</t>
  </si>
  <si>
    <t>0.0237*1.17=0.0277</t>
  </si>
  <si>
    <t>0.0277*14=0.3878</t>
  </si>
  <si>
    <t>1.20*2.40</t>
  </si>
  <si>
    <t>Esta escalera se encuetra en todo el edificio sobre los ejes indicados</t>
  </si>
  <si>
    <t>(2.40)*(0.80*0.30)</t>
  </si>
  <si>
    <t>0.3878*3</t>
  </si>
  <si>
    <t>0.5504*3</t>
  </si>
  <si>
    <t>1056.4*1.15=1214.9</t>
  </si>
  <si>
    <t>3.52*1214.9</t>
  </si>
  <si>
    <t>Prediseño de tanque de agua</t>
  </si>
  <si>
    <t>Capacidad maxima de 75 m3</t>
  </si>
  <si>
    <t>Paredes</t>
  </si>
  <si>
    <t>Norte y sur</t>
  </si>
  <si>
    <t>Este y oeste</t>
  </si>
  <si>
    <t>Base</t>
  </si>
  <si>
    <t>Tapa</t>
  </si>
  <si>
    <t>Cantidad aproximada de acero</t>
  </si>
  <si>
    <t>Todo</t>
  </si>
  <si>
    <t>Lobby</t>
  </si>
  <si>
    <t>Zona común</t>
  </si>
  <si>
    <t>Nota: Son 2 ascensores, este y oeste</t>
  </si>
  <si>
    <t>NOTA: se considera un espesor de muros y base de 0.25m, y de la tapa de 0.20m
NOTA 2: se considera un desperdicio de 1.05</t>
  </si>
  <si>
    <t>(2.50+0.25)*6.00*0.25*1.05</t>
  </si>
  <si>
    <t>(2.50+0.25)*5.00*0.25*1.05</t>
  </si>
  <si>
    <t>6.00*5.00*0.25*1.05</t>
  </si>
  <si>
    <t>6.00*5.00*0.20*1.05</t>
  </si>
  <si>
    <t>Cantidad de concreto: 30.06</t>
  </si>
  <si>
    <t>30.06*120</t>
  </si>
  <si>
    <t>Placa de entrepiso sótano</t>
  </si>
  <si>
    <t>Placa bajo escalones</t>
  </si>
  <si>
    <t>Placa descanso</t>
  </si>
  <si>
    <r>
      <rPr>
        <sz val="12"/>
        <color theme="1"/>
        <rFont val="Calibri"/>
        <family val="2"/>
      </rPr>
      <t>∑</t>
    </r>
    <r>
      <rPr>
        <sz val="12"/>
        <color theme="1"/>
        <rFont val="Arial"/>
        <family val="2"/>
      </rPr>
      <t>(volumen)*120</t>
    </r>
  </si>
  <si>
    <t>((7394.4+1056.34)*0.12)*120</t>
  </si>
  <si>
    <t>Subestación y basura</t>
  </si>
  <si>
    <t>Localización y replanteo estructura</t>
  </si>
  <si>
    <t>Resanes placas</t>
  </si>
  <si>
    <t>Misma cantidad que en la tabla 4.4.4</t>
  </si>
  <si>
    <t>Consumibles estructura - Tanque de agua</t>
  </si>
  <si>
    <t>(6.00+0.25*2)*(5.00+0.25*2)</t>
  </si>
  <si>
    <t>Area del tanque</t>
  </si>
  <si>
    <t>Documento:</t>
  </si>
  <si>
    <t>Concurso N°:</t>
  </si>
  <si>
    <t>Fecha:</t>
  </si>
  <si>
    <t>Página:</t>
  </si>
  <si>
    <t xml:space="preserve">Obra: </t>
  </si>
  <si>
    <t>ANÁLISIS DE PRECIO UNITARIO</t>
  </si>
  <si>
    <t>Clave</t>
  </si>
  <si>
    <t>Unidad</t>
  </si>
  <si>
    <t>Cantidad</t>
  </si>
  <si>
    <t>Costo</t>
  </si>
  <si>
    <t>Importe</t>
  </si>
  <si>
    <t>Materiales</t>
  </si>
  <si>
    <t>Total de Materiales</t>
  </si>
  <si>
    <t>Concursante: Promotora Inmobiliaria Prominsa</t>
  </si>
  <si>
    <t>Firma Representante Legal</t>
  </si>
  <si>
    <t>146</t>
  </si>
  <si>
    <t>Acero figurado 3/4'' 60000 psi</t>
  </si>
  <si>
    <t>Mano de Obra</t>
  </si>
  <si>
    <t>Total de Mano de Obra</t>
  </si>
  <si>
    <t>1404</t>
  </si>
  <si>
    <t>Cemento gris Pórtland tipo I 50 kg</t>
  </si>
  <si>
    <t>bt</t>
  </si>
  <si>
    <t>5027</t>
  </si>
  <si>
    <t>puntilla con cabeza de 4''</t>
  </si>
  <si>
    <t>lb</t>
  </si>
  <si>
    <t>Fletes</t>
  </si>
  <si>
    <t>Total de Fletes</t>
  </si>
  <si>
    <t>1949</t>
  </si>
  <si>
    <t>Concreto 2000 psi grava común</t>
  </si>
  <si>
    <t>1960</t>
  </si>
  <si>
    <t>Concreto 3000 psi grava común 7 días</t>
  </si>
  <si>
    <t>8690</t>
  </si>
  <si>
    <t>Mano de obra columnas</t>
  </si>
  <si>
    <t>297</t>
  </si>
  <si>
    <t>5024</t>
  </si>
  <si>
    <t>puntilla con cabeza de 2 1/2''</t>
  </si>
  <si>
    <t>5026</t>
  </si>
  <si>
    <t>puntilla con cabeza de 3''</t>
  </si>
  <si>
    <t>9174</t>
  </si>
  <si>
    <t>Distanciador Canastilla plastica 10cm</t>
  </si>
  <si>
    <t>2388</t>
  </si>
  <si>
    <t>Distanciador rueda plástica 100mm</t>
  </si>
  <si>
    <t>10259</t>
  </si>
  <si>
    <t>Distanciador canastilla plástica 6.5cm</t>
  </si>
  <si>
    <t>2391</t>
  </si>
  <si>
    <t>Distanciador rueda plástica 200mm</t>
  </si>
  <si>
    <t>2400</t>
  </si>
  <si>
    <t>Distanciador silla mortero 25 mm</t>
  </si>
  <si>
    <t>147</t>
  </si>
  <si>
    <t>Acero figurado 3/8'' 60000 psi</t>
  </si>
  <si>
    <t>145</t>
  </si>
  <si>
    <t>Acero figurado 1/2'' 60000 psi</t>
  </si>
  <si>
    <t>144</t>
  </si>
  <si>
    <t>Acero figurado 1/4'' 60000 psi</t>
  </si>
  <si>
    <t>149</t>
  </si>
  <si>
    <t>Acero figurado 7/8'' 60000 psi</t>
  </si>
  <si>
    <t>148</t>
  </si>
  <si>
    <t>Acero figurado 5/8'' 60000 psi</t>
  </si>
  <si>
    <t>8610</t>
  </si>
  <si>
    <t>mano de obra acero</t>
  </si>
  <si>
    <t>3721</t>
  </si>
  <si>
    <t>4.001</t>
  </si>
  <si>
    <t>8683</t>
  </si>
  <si>
    <t>Localizacion y replanteo estructura</t>
  </si>
  <si>
    <t>4.003</t>
  </si>
  <si>
    <t>Descolgados y bordillos muros/placas 3000 psi</t>
  </si>
  <si>
    <t>8611</t>
  </si>
  <si>
    <t>Mano de obra descolgados y bordillos</t>
  </si>
  <si>
    <t>4.004</t>
  </si>
  <si>
    <t>Placa aligerada contrapiso e=0.50m 3000 psi</t>
  </si>
  <si>
    <t>9280</t>
  </si>
  <si>
    <t xml:space="preserve">Casetón de poliestireno expandido </t>
  </si>
  <si>
    <t>8612</t>
  </si>
  <si>
    <t>mano de obra placa</t>
  </si>
  <si>
    <t>4.006</t>
  </si>
  <si>
    <t>4.008</t>
  </si>
  <si>
    <t>8613</t>
  </si>
  <si>
    <t>mano de obra escalera en concreto</t>
  </si>
  <si>
    <t>4.009</t>
  </si>
  <si>
    <t>Placa de contrapiso sótano</t>
  </si>
  <si>
    <t>4.010</t>
  </si>
  <si>
    <t>511</t>
  </si>
  <si>
    <t>arena zarandeada de peña</t>
  </si>
  <si>
    <t>4101</t>
  </si>
  <si>
    <t>Mortero mezclado en obra 140kg/cm2</t>
  </si>
  <si>
    <t>5528</t>
  </si>
  <si>
    <t>Sikalatex</t>
  </si>
  <si>
    <t>8614</t>
  </si>
  <si>
    <t>Mano de obra resanes placa</t>
  </si>
  <si>
    <t>6718</t>
  </si>
  <si>
    <t>transporte arena de peña</t>
  </si>
  <si>
    <t>4.014</t>
  </si>
  <si>
    <t>484</t>
  </si>
  <si>
    <t>antisol rojo</t>
  </si>
  <si>
    <t>814</t>
  </si>
  <si>
    <t>bocel en madera</t>
  </si>
  <si>
    <t>8186</t>
  </si>
  <si>
    <t>bombillo ahorrador 27w luz día</t>
  </si>
  <si>
    <t>9112</t>
  </si>
  <si>
    <t>Sika Antisol blanco 20 Kg</t>
  </si>
  <si>
    <t>2554</t>
  </si>
  <si>
    <t>Durmiente 3m ordinario</t>
  </si>
  <si>
    <t>2723</t>
  </si>
  <si>
    <t>Esterilla de guadua</t>
  </si>
  <si>
    <t>2725</t>
  </si>
  <si>
    <t>Estopa</t>
  </si>
  <si>
    <t>10907</t>
  </si>
  <si>
    <t>Formaleta metálica borde placa</t>
  </si>
  <si>
    <t>3189</t>
  </si>
  <si>
    <t>hoja segueta</t>
  </si>
  <si>
    <t>9319</t>
  </si>
  <si>
    <t>lámina súper T 1.83x2.44 19mm</t>
  </si>
  <si>
    <t>4053</t>
  </si>
  <si>
    <t>mineral rojo</t>
  </si>
  <si>
    <t>12663</t>
  </si>
  <si>
    <t>Paral largo</t>
  </si>
  <si>
    <t>4598</t>
  </si>
  <si>
    <t>planchón 3m ordinario</t>
  </si>
  <si>
    <t>4599</t>
  </si>
  <si>
    <t>planchón 4m cepillada</t>
  </si>
  <si>
    <t>4600</t>
  </si>
  <si>
    <t>planchón 4m ordinario</t>
  </si>
  <si>
    <t>4676</t>
  </si>
  <si>
    <t>polietileno negro cal 6</t>
  </si>
  <si>
    <t>5021</t>
  </si>
  <si>
    <t>puntilla con cabeza de 1 1/2''</t>
  </si>
  <si>
    <t>5025</t>
  </si>
  <si>
    <t>puntilla con cabeza de 2''</t>
  </si>
  <si>
    <t>5396</t>
  </si>
  <si>
    <t>separol</t>
  </si>
  <si>
    <t>10465</t>
  </si>
  <si>
    <t>Zuncho plástico x 500</t>
  </si>
  <si>
    <t>rl</t>
  </si>
  <si>
    <t>Equipo</t>
  </si>
  <si>
    <t>12307</t>
  </si>
  <si>
    <t>burro metálico</t>
  </si>
  <si>
    <t>12715</t>
  </si>
  <si>
    <t>cabezal V33 StenMix</t>
  </si>
  <si>
    <t>di</t>
  </si>
  <si>
    <t>12713</t>
  </si>
  <si>
    <t>correa mixta 3m V33 StenMix</t>
  </si>
  <si>
    <t>12712</t>
  </si>
  <si>
    <t>correa mixta 2m V33 StenMix</t>
  </si>
  <si>
    <t>12714</t>
  </si>
  <si>
    <t>correa mixta 4m V33 StenMix</t>
  </si>
  <si>
    <t>9855</t>
  </si>
  <si>
    <t>escalera metálica p/grouting h=1.50m</t>
  </si>
  <si>
    <t>12737</t>
  </si>
  <si>
    <t>herramienta reticular</t>
  </si>
  <si>
    <t>12716</t>
  </si>
  <si>
    <t>puntal seguridad 3.20m StenMix</t>
  </si>
  <si>
    <t>12733</t>
  </si>
  <si>
    <t>sten panel 1 v/a stenmix</t>
  </si>
  <si>
    <t>12734</t>
  </si>
  <si>
    <t>sten panel 2 v/a stenmix</t>
  </si>
  <si>
    <t>12735</t>
  </si>
  <si>
    <t>stentree StenMix</t>
  </si>
  <si>
    <t>Total de Equipo</t>
  </si>
  <si>
    <t>4.016</t>
  </si>
  <si>
    <t>9193</t>
  </si>
  <si>
    <t>Grafil 5.5mm</t>
  </si>
  <si>
    <t>9194</t>
  </si>
  <si>
    <t>Grafil 6.5mm</t>
  </si>
  <si>
    <t>4.017</t>
  </si>
  <si>
    <t>4.018</t>
  </si>
  <si>
    <t>Placa rampa acceso vehicular </t>
  </si>
  <si>
    <t>8981</t>
  </si>
  <si>
    <t>Mano de obra rampa vehicular</t>
  </si>
  <si>
    <t>jor</t>
  </si>
  <si>
    <t>4.019</t>
  </si>
  <si>
    <t>4.020</t>
  </si>
  <si>
    <t>10689</t>
  </si>
  <si>
    <t>Concreto plástico 3000 psi grava común</t>
  </si>
  <si>
    <t>8675</t>
  </si>
  <si>
    <t>Mano de obra muros ascensores</t>
  </si>
  <si>
    <t>4.101</t>
  </si>
  <si>
    <t>841</t>
  </si>
  <si>
    <t>Bombeo concreto autobomba</t>
  </si>
  <si>
    <t>8616</t>
  </si>
  <si>
    <t>mano de obra estructura tanque</t>
  </si>
  <si>
    <t>4100</t>
  </si>
  <si>
    <t>mortero mezclado en obra 125 kg/cm2</t>
  </si>
  <si>
    <t>4104</t>
  </si>
  <si>
    <t>mortero mezclado en obra 75 kg/cm2</t>
  </si>
  <si>
    <t>1951</t>
  </si>
  <si>
    <t>Concreto 2000 psi mezclado en obra</t>
  </si>
  <si>
    <t>12481</t>
  </si>
  <si>
    <t>Concreto plastico 4000 grava comun impermeabilizado</t>
  </si>
  <si>
    <t>8617</t>
  </si>
  <si>
    <t>mano de obra pañetes tanque</t>
  </si>
  <si>
    <t>8615</t>
  </si>
  <si>
    <t>mando de obra tanque</t>
  </si>
  <si>
    <t>4.102</t>
  </si>
  <si>
    <t>4.103</t>
  </si>
  <si>
    <t>Consumibles estructura T - Tanque de agua</t>
  </si>
  <si>
    <t>348</t>
  </si>
  <si>
    <t>alquiler camilla en madera (0.70mx1.40m)</t>
  </si>
  <si>
    <t>3796</t>
  </si>
  <si>
    <t>malla gallinero de 1.80x1x36m rollo</t>
  </si>
  <si>
    <t>rollo</t>
  </si>
  <si>
    <t>8271</t>
  </si>
  <si>
    <t>Planchon 3mx0.20 cepillado/canteado</t>
  </si>
  <si>
    <t>9024</t>
  </si>
  <si>
    <t>Barra sikaflex 1a</t>
  </si>
  <si>
    <t>7668</t>
  </si>
  <si>
    <t>repisa 4m ordinario</t>
  </si>
  <si>
    <t>6155</t>
  </si>
  <si>
    <t>tabla burra 30cm x 3m cepillada</t>
  </si>
  <si>
    <t>349</t>
  </si>
  <si>
    <t>alquiler camilla metalica (0.70mx1.20m)</t>
  </si>
  <si>
    <t>352</t>
  </si>
  <si>
    <t>alquiler cercha metalica (3m)</t>
  </si>
  <si>
    <t>3228</t>
  </si>
  <si>
    <t>igol denso</t>
  </si>
  <si>
    <t>367</t>
  </si>
  <si>
    <t>alquiler fordams</t>
  </si>
  <si>
    <t>395</t>
  </si>
  <si>
    <t>alquiler llave tensora</t>
  </si>
  <si>
    <t>416</t>
  </si>
  <si>
    <t>alquiler paral corto (1.5m a 2.65m)</t>
  </si>
  <si>
    <t>10516</t>
  </si>
  <si>
    <t>Epóxico HIT-MM PLUS/2</t>
  </si>
  <si>
    <t>418</t>
  </si>
  <si>
    <t>1625</t>
  </si>
  <si>
    <t>Cinta Sika PVC V-15</t>
  </si>
  <si>
    <t>Alambre negro no. 18</t>
  </si>
  <si>
    <t>Malla electrosoldada estándar</t>
  </si>
  <si>
    <t>29 de 272</t>
  </si>
  <si>
    <t>30 de 272</t>
  </si>
  <si>
    <t>31 de 272</t>
  </si>
  <si>
    <t>32 de 272</t>
  </si>
  <si>
    <t>33 de 272</t>
  </si>
  <si>
    <t>34 de 272</t>
  </si>
  <si>
    <t>35 de 272</t>
  </si>
  <si>
    <t>36 de 272</t>
  </si>
  <si>
    <t>37 de 272</t>
  </si>
  <si>
    <t>38 de 272</t>
  </si>
  <si>
    <t>39 de 272</t>
  </si>
  <si>
    <t>40 de 272</t>
  </si>
  <si>
    <t>41 de 272</t>
  </si>
  <si>
    <t>42 de 272</t>
  </si>
  <si>
    <t>43 de 272</t>
  </si>
  <si>
    <t>44 de 272</t>
  </si>
  <si>
    <t>45 de 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</si>
</sst>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dd/mmm/yyyy"/>
    <numFmt numFmtId="167" formatCode="#,##0.000000"/>
    <numFmt numFmtId="168" formatCode="&quot;$&quot;#,##0.0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</font>
    <font>
      <sz val="11"/>
      <color rgb="FF000000"/>
      <name val="Arial"/>
    </font>
    <font>
      <b/>
      <sz val="10"/>
      <color rgb="FF000000"/>
      <name val="Arial"/>
    </font>
    <font>
      <sz val="8"/>
      <color rgb="FF000000"/>
      <name val="Arial"/>
    </font>
    <font>
      <b/>
      <sz val="9"/>
      <color rgb="FF000000"/>
      <name val="Arial"/>
    </font>
    <font>
      <sz val="10"/>
      <color rgb="FF000000"/>
      <name val="Arial"/>
    </font>
    <font>
      <b/>
      <sz val="8"/>
      <color rgb="FF000000"/>
      <name val="Arial"/>
    </font>
    <font>
      <sz val="9"/>
      <color rgb="FF000000"/>
      <name val="Arial"/>
    </font>
    <font>
      <b/>
      <sz val="9"/>
      <color rgb="FFFFFFFF"/>
      <name val="Arial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left"/>
    </xf>
    <xf numFmtId="0" fontId="1" fillId="2" borderId="4" xfId="0" applyFont="1" applyFill="1" applyBorder="1"/>
    <xf numFmtId="0" fontId="1" fillId="2" borderId="6" xfId="0" applyFont="1" applyFill="1" applyBorder="1" applyAlignment="1">
      <alignment wrapText="1"/>
    </xf>
    <xf numFmtId="0" fontId="1" fillId="2" borderId="6" xfId="0" applyFont="1" applyFill="1" applyBorder="1"/>
    <xf numFmtId="0" fontId="1" fillId="2" borderId="0" xfId="0" applyFont="1" applyFill="1" applyBorder="1"/>
    <xf numFmtId="0" fontId="0" fillId="2" borderId="0" xfId="0" applyFill="1"/>
    <xf numFmtId="0" fontId="1" fillId="2" borderId="1" xfId="0" quotePrefix="1" applyFont="1" applyFill="1" applyBorder="1"/>
    <xf numFmtId="0" fontId="1" fillId="2" borderId="2" xfId="0" quotePrefix="1" applyFont="1" applyFill="1" applyBorder="1" applyAlignment="1"/>
    <xf numFmtId="0" fontId="1" fillId="2" borderId="6" xfId="0" quotePrefix="1" applyFont="1" applyFill="1" applyBorder="1"/>
    <xf numFmtId="0" fontId="1" fillId="2" borderId="0" xfId="0" applyFont="1" applyFill="1" applyBorder="1" applyAlignment="1">
      <alignment horizontal="center"/>
    </xf>
    <xf numFmtId="0" fontId="1" fillId="2" borderId="6" xfId="0" quotePrefix="1" applyFont="1" applyFill="1" applyBorder="1" applyAlignment="1">
      <alignment wrapText="1"/>
    </xf>
    <xf numFmtId="0" fontId="0" fillId="0" borderId="0" xfId="0" quotePrefix="1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8" xfId="0" applyFont="1" applyBorder="1"/>
    <xf numFmtId="0" fontId="1" fillId="0" borderId="10" xfId="0" applyFont="1" applyBorder="1"/>
    <xf numFmtId="0" fontId="1" fillId="0" borderId="1" xfId="0" applyFont="1" applyBorder="1" applyAlignment="1">
      <alignment horizontal="center"/>
    </xf>
    <xf numFmtId="0" fontId="1" fillId="0" borderId="11" xfId="0" applyFont="1" applyBorder="1"/>
    <xf numFmtId="0" fontId="1" fillId="0" borderId="7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4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9" xfId="0" quotePrefix="1" applyFont="1" applyBorder="1"/>
    <xf numFmtId="2" fontId="1" fillId="0" borderId="1" xfId="0" applyNumberFormat="1" applyFont="1" applyBorder="1"/>
    <xf numFmtId="0" fontId="1" fillId="2" borderId="4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164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" fillId="3" borderId="1" xfId="0" quotePrefix="1" applyFont="1" applyFill="1" applyBorder="1" applyAlignment="1">
      <alignment horizontal="right"/>
    </xf>
    <xf numFmtId="0" fontId="1" fillId="2" borderId="4" xfId="0" applyFont="1" applyFill="1" applyBorder="1" applyAlignment="1">
      <alignment horizontal="left"/>
    </xf>
    <xf numFmtId="0" fontId="2" fillId="2" borderId="1" xfId="0" applyFont="1" applyFill="1" applyBorder="1" applyAlignment="1">
      <alignment wrapText="1"/>
    </xf>
    <xf numFmtId="0" fontId="1" fillId="0" borderId="1" xfId="0" applyFont="1" applyBorder="1" applyAlignment="1">
      <alignment horizontal="center"/>
    </xf>
    <xf numFmtId="0" fontId="1" fillId="2" borderId="4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2" borderId="4" xfId="0" applyFont="1" applyFill="1" applyBorder="1" applyAlignment="1">
      <alignment horizontal="left"/>
    </xf>
    <xf numFmtId="0" fontId="2" fillId="2" borderId="1" xfId="0" applyFont="1" applyFill="1" applyBorder="1"/>
    <xf numFmtId="2" fontId="1" fillId="2" borderId="6" xfId="0" applyNumberFormat="1" applyFont="1" applyFill="1" applyBorder="1"/>
    <xf numFmtId="2" fontId="2" fillId="2" borderId="6" xfId="0" applyNumberFormat="1" applyFont="1" applyFill="1" applyBorder="1"/>
    <xf numFmtId="0" fontId="2" fillId="2" borderId="6" xfId="0" applyFont="1" applyFill="1" applyBorder="1" applyAlignment="1">
      <alignment wrapText="1"/>
    </xf>
    <xf numFmtId="0" fontId="1" fillId="0" borderId="1" xfId="0" applyFont="1" applyBorder="1" applyAlignment="1"/>
    <xf numFmtId="165" fontId="1" fillId="0" borderId="1" xfId="0" applyNumberFormat="1" applyFont="1" applyBorder="1"/>
    <xf numFmtId="0" fontId="1" fillId="2" borderId="4" xfId="0" applyFont="1" applyFill="1" applyBorder="1" applyAlignment="1">
      <alignment horizontal="left"/>
    </xf>
    <xf numFmtId="0" fontId="1" fillId="2" borderId="0" xfId="0" quotePrefix="1" applyFont="1" applyFill="1" applyBorder="1"/>
    <xf numFmtId="0" fontId="1" fillId="2" borderId="0" xfId="0" applyFont="1" applyFill="1" applyBorder="1" applyAlignment="1">
      <alignment horizontal="left"/>
    </xf>
    <xf numFmtId="0" fontId="0" fillId="0" borderId="1" xfId="0" applyBorder="1" applyAlignment="1"/>
    <xf numFmtId="0" fontId="6" fillId="0" borderId="1" xfId="0" applyNumberFormat="1" applyFont="1" applyBorder="1" applyAlignment="1">
      <alignment horizontal="center" vertical="top" wrapText="1" readingOrder="1"/>
    </xf>
    <xf numFmtId="167" fontId="6" fillId="0" borderId="1" xfId="0" applyNumberFormat="1" applyFont="1" applyBorder="1" applyAlignment="1">
      <alignment horizontal="right" vertical="top" wrapText="1" readingOrder="1"/>
    </xf>
    <xf numFmtId="168" fontId="6" fillId="0" borderId="1" xfId="0" applyNumberFormat="1" applyFont="1" applyBorder="1" applyAlignment="1">
      <alignment horizontal="right" vertical="top" wrapText="1" readingOrder="1"/>
    </xf>
    <xf numFmtId="0" fontId="9" fillId="0" borderId="1" xfId="0" applyNumberFormat="1" applyFont="1" applyBorder="1" applyAlignment="1">
      <alignment horizontal="right" vertical="top" wrapText="1" readingOrder="1"/>
    </xf>
    <xf numFmtId="0" fontId="9" fillId="0" borderId="1" xfId="0" applyNumberFormat="1" applyFont="1" applyBorder="1" applyAlignment="1">
      <alignment horizontal="center" wrapText="1" readingOrder="1"/>
    </xf>
    <xf numFmtId="168" fontId="9" fillId="0" borderId="1" xfId="0" applyNumberFormat="1" applyFont="1" applyBorder="1" applyAlignment="1">
      <alignment horizontal="right" vertical="top" wrapText="1" readingOrder="1"/>
    </xf>
    <xf numFmtId="0" fontId="8" fillId="0" borderId="1" xfId="0" applyNumberFormat="1" applyFont="1" applyBorder="1" applyAlignment="1">
      <alignment horizontal="center" wrapText="1" readingOrder="1"/>
    </xf>
    <xf numFmtId="0" fontId="6" fillId="0" borderId="1" xfId="0" applyNumberFormat="1" applyFont="1" applyBorder="1" applyAlignment="1">
      <alignment horizontal="left" vertical="top" wrapText="1" readingOrder="1"/>
    </xf>
    <xf numFmtId="0" fontId="9" fillId="0" borderId="1" xfId="0" applyNumberFormat="1" applyFont="1" applyBorder="1" applyAlignment="1">
      <alignment horizontal="center" vertical="top" wrapText="1" readingOrder="1"/>
    </xf>
    <xf numFmtId="0" fontId="9" fillId="0" borderId="1" xfId="0" applyNumberFormat="1" applyFont="1" applyBorder="1" applyAlignment="1">
      <alignment horizontal="left" vertical="top" wrapText="1" readingOrder="1"/>
    </xf>
    <xf numFmtId="0" fontId="6" fillId="0" borderId="1" xfId="0" applyNumberFormat="1" applyFont="1" applyBorder="1" applyAlignment="1">
      <alignment horizontal="right" vertical="top" wrapText="1" readingOrder="1"/>
    </xf>
    <xf numFmtId="0" fontId="4" fillId="0" borderId="1" xfId="0" applyNumberFormat="1" applyFont="1" applyBorder="1" applyAlignment="1">
      <alignment horizontal="center" vertical="top" wrapText="1" readingOrder="1"/>
    </xf>
    <xf numFmtId="0" fontId="0" fillId="0" borderId="0" xfId="0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 vertical="top"/>
    </xf>
    <xf numFmtId="0" fontId="1" fillId="2" borderId="4" xfId="0" applyFont="1" applyFill="1" applyBorder="1" applyAlignment="1">
      <alignment horizontal="left" vertical="top"/>
    </xf>
    <xf numFmtId="0" fontId="1" fillId="2" borderId="4" xfId="0" applyFont="1" applyFill="1" applyBorder="1" applyAlignment="1">
      <alignment horizontal="center"/>
    </xf>
    <xf numFmtId="0" fontId="11" fillId="4" borderId="1" xfId="0" applyNumberFormat="1" applyFont="1" applyFill="1" applyBorder="1" applyAlignment="1">
      <alignment horizontal="center" vertical="top" wrapText="1" readingOrder="1"/>
    </xf>
    <xf numFmtId="0" fontId="6" fillId="0" borderId="1" xfId="0" applyNumberFormat="1" applyFont="1" applyBorder="1" applyAlignment="1">
      <alignment horizontal="left" vertical="top" wrapText="1" readingOrder="1"/>
    </xf>
    <xf numFmtId="0" fontId="9" fillId="0" borderId="1" xfId="0" applyNumberFormat="1" applyFont="1" applyBorder="1" applyAlignment="1">
      <alignment horizontal="center" vertical="top" wrapText="1" readingOrder="1"/>
    </xf>
    <xf numFmtId="0" fontId="8" fillId="0" borderId="1" xfId="0" applyNumberFormat="1" applyFont="1" applyBorder="1" applyAlignment="1">
      <alignment horizontal="left" wrapText="1" readingOrder="1"/>
    </xf>
    <xf numFmtId="166" fontId="9" fillId="0" borderId="1" xfId="0" applyNumberFormat="1" applyFont="1" applyBorder="1" applyAlignment="1">
      <alignment horizontal="left" vertical="top" wrapText="1" readingOrder="1"/>
    </xf>
    <xf numFmtId="0" fontId="10" fillId="0" borderId="1" xfId="0" applyNumberFormat="1" applyFont="1" applyBorder="1" applyAlignment="1">
      <alignment horizontal="left" vertical="top" wrapText="1" readingOrder="1"/>
    </xf>
    <xf numFmtId="49" fontId="9" fillId="0" borderId="1" xfId="0" applyNumberFormat="1" applyFont="1" applyBorder="1" applyAlignment="1">
      <alignment horizontal="left" vertical="top" wrapText="1" readingOrder="1"/>
    </xf>
    <xf numFmtId="0" fontId="6" fillId="0" borderId="1" xfId="0" applyNumberFormat="1" applyFont="1" applyBorder="1" applyAlignment="1">
      <alignment horizontal="right" vertical="top" wrapText="1" readingOrder="1"/>
    </xf>
    <xf numFmtId="0" fontId="7" fillId="0" borderId="1" xfId="0" applyNumberFormat="1" applyFont="1" applyBorder="1" applyAlignment="1">
      <alignment horizontal="left" vertical="top" wrapText="1" readingOrder="1"/>
    </xf>
    <xf numFmtId="0" fontId="5" fillId="0" borderId="1" xfId="0" applyNumberFormat="1" applyFont="1" applyBorder="1" applyAlignment="1">
      <alignment horizontal="left" vertical="top" wrapText="1" readingOrder="1"/>
    </xf>
    <xf numFmtId="0" fontId="4" fillId="0" borderId="1" xfId="0" applyNumberFormat="1" applyFont="1" applyBorder="1" applyAlignment="1">
      <alignment horizontal="center" vertical="top" wrapText="1" readingOrder="1"/>
    </xf>
    <xf numFmtId="0" fontId="8" fillId="0" borderId="1" xfId="0" applyNumberFormat="1" applyFont="1" applyBorder="1" applyAlignment="1">
      <alignment horizontal="left" vertical="top" wrapText="1" readingOrder="1"/>
    </xf>
    <xf numFmtId="0" fontId="9" fillId="0" borderId="1" xfId="0" applyNumberFormat="1" applyFont="1" applyBorder="1" applyAlignment="1">
      <alignment horizontal="left" vertical="top" wrapText="1" readingOrder="1"/>
    </xf>
    <xf numFmtId="0" fontId="6" fillId="0" borderId="1" xfId="0" applyNumberFormat="1" applyFont="1" applyBorder="1" applyAlignment="1">
      <alignment horizontal="center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57149</xdr:colOff>
      <xdr:row>172</xdr:row>
      <xdr:rowOff>19050</xdr:rowOff>
    </xdr:from>
    <xdr:to>
      <xdr:col>5</xdr:col>
      <xdr:colOff>3456752</xdr:colOff>
      <xdr:row>172</xdr:row>
      <xdr:rowOff>1819050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03" t="18994" r="2058" b="19362"/>
        <a:stretch/>
      </xdr:blipFill>
      <xdr:spPr>
        <a:xfrm>
          <a:off x="1771649" y="34804350"/>
          <a:ext cx="3399603" cy="18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7"/>
  <dimension ref="A1:W18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D16" sqref="D16"/>
    </sheetView>
  </sheetViews>
  <sheetFormatPr baseColWidth="10" defaultRowHeight="16.5" customHeight="1" x14ac:dyDescent="0.25"/>
  <cols>
    <col min="1" max="1" width="2.85546875" customWidth="1"/>
    <col min="2" max="2" width="3.85546875" bestFit="1" customWidth="1"/>
    <col min="3" max="3" width="9.28515625" bestFit="1" customWidth="1"/>
    <col min="4" max="4" width="50.28515625" customWidth="1"/>
    <col min="5" max="5" width="4.7109375" style="17" bestFit="1" customWidth="1"/>
    <col min="6" max="7" width="13.140625" bestFit="1" customWidth="1"/>
    <col min="8" max="8" width="13.28515625" bestFit="1" customWidth="1"/>
    <col min="9" max="9" width="10.28515625" bestFit="1" customWidth="1"/>
    <col min="10" max="10" width="10.7109375" customWidth="1"/>
    <col min="11" max="13" width="10.28515625" bestFit="1" customWidth="1"/>
    <col min="14" max="14" width="18.5703125" bestFit="1" customWidth="1"/>
    <col min="15" max="15" width="23" bestFit="1" customWidth="1"/>
    <col min="16" max="16" width="13.42578125" bestFit="1" customWidth="1"/>
    <col min="17" max="17" width="7.42578125" bestFit="1" customWidth="1"/>
    <col min="18" max="18" width="17.5703125" bestFit="1" customWidth="1"/>
    <col min="19" max="19" width="10.85546875" bestFit="1" customWidth="1"/>
    <col min="21" max="21" width="13.28515625" bestFit="1" customWidth="1"/>
    <col min="23" max="23" width="14.28515625" bestFit="1" customWidth="1"/>
  </cols>
  <sheetData>
    <row r="1" spans="1:23" ht="16.5" customHeight="1" x14ac:dyDescent="0.25">
      <c r="F1" s="16" t="s">
        <v>10</v>
      </c>
      <c r="G1" s="16" t="s">
        <v>9</v>
      </c>
      <c r="H1" s="16" t="s">
        <v>11</v>
      </c>
      <c r="I1" s="16" t="s">
        <v>17</v>
      </c>
      <c r="J1" s="16" t="s">
        <v>18</v>
      </c>
      <c r="K1" s="16" t="s">
        <v>19</v>
      </c>
      <c r="L1" s="16" t="s">
        <v>33</v>
      </c>
      <c r="M1" s="16" t="s">
        <v>14</v>
      </c>
      <c r="N1" s="16" t="s">
        <v>15</v>
      </c>
      <c r="O1" s="16" t="s">
        <v>23</v>
      </c>
      <c r="P1" s="16" t="s">
        <v>40</v>
      </c>
      <c r="Q1" s="16" t="s">
        <v>41</v>
      </c>
      <c r="R1" s="16" t="s">
        <v>42</v>
      </c>
    </row>
    <row r="2" spans="1:23" ht="16.5" customHeight="1" thickBot="1" x14ac:dyDescent="0.3">
      <c r="C2" s="18" t="s">
        <v>34</v>
      </c>
      <c r="D2" s="18" t="s">
        <v>57</v>
      </c>
      <c r="E2" s="21" t="s">
        <v>35</v>
      </c>
      <c r="F2" s="18" t="s">
        <v>44</v>
      </c>
      <c r="G2" s="18" t="s">
        <v>45</v>
      </c>
      <c r="H2" s="18" t="s">
        <v>13</v>
      </c>
      <c r="I2" s="18" t="s">
        <v>49</v>
      </c>
      <c r="J2" s="18" t="s">
        <v>20</v>
      </c>
      <c r="K2" s="18" t="s">
        <v>94</v>
      </c>
      <c r="L2" s="18" t="s">
        <v>95</v>
      </c>
      <c r="M2" s="18" t="s">
        <v>100</v>
      </c>
      <c r="N2" s="18" t="s">
        <v>91</v>
      </c>
      <c r="O2" s="18" t="s">
        <v>177</v>
      </c>
      <c r="P2" s="18" t="s">
        <v>163</v>
      </c>
      <c r="Q2" s="18" t="s">
        <v>162</v>
      </c>
      <c r="R2" s="18" t="s">
        <v>101</v>
      </c>
      <c r="S2" s="18" t="s">
        <v>7</v>
      </c>
      <c r="T2" t="s">
        <v>56</v>
      </c>
    </row>
    <row r="3" spans="1:23" ht="16.5" customHeight="1" thickBot="1" x14ac:dyDescent="0.3">
      <c r="C3" s="48"/>
      <c r="D3" s="48"/>
      <c r="E3" s="48"/>
      <c r="F3" s="67" t="s">
        <v>55</v>
      </c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9"/>
      <c r="T3">
        <v>2</v>
      </c>
      <c r="U3" s="23" t="s">
        <v>43</v>
      </c>
      <c r="V3" s="26" t="s">
        <v>48</v>
      </c>
      <c r="W3" s="22" t="s">
        <v>46</v>
      </c>
    </row>
    <row r="4" spans="1:23" ht="16.5" customHeight="1" x14ac:dyDescent="0.25">
      <c r="A4" s="16" t="s">
        <v>17</v>
      </c>
      <c r="B4" s="16"/>
      <c r="C4" s="37" t="s">
        <v>17</v>
      </c>
      <c r="D4" s="70" t="str">
        <f>+'4.'!C2</f>
        <v>ESTRUCTURA</v>
      </c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 t="e">
        <f>+F4*$W$4+G4*$W$5+$W$6*H4*$V$8+#REF!+#REF!</f>
        <v>#REF!</v>
      </c>
      <c r="T4">
        <v>3</v>
      </c>
      <c r="U4" s="30" t="s">
        <v>44</v>
      </c>
      <c r="V4" s="27">
        <v>14</v>
      </c>
      <c r="W4" s="20">
        <f>+V4*$V$8</f>
        <v>84</v>
      </c>
    </row>
    <row r="5" spans="1:23" ht="16.5" customHeight="1" x14ac:dyDescent="0.25">
      <c r="B5">
        <v>1</v>
      </c>
      <c r="C5" s="18">
        <v>4.0010000000000003</v>
      </c>
      <c r="D5" s="18" t="s">
        <v>178</v>
      </c>
      <c r="E5" s="21" t="s">
        <v>54</v>
      </c>
      <c r="F5" s="18"/>
      <c r="G5" s="18"/>
      <c r="H5" s="18"/>
      <c r="I5" s="18">
        <v>1056.3399999999999</v>
      </c>
      <c r="J5" s="18">
        <v>1056.3399999999999</v>
      </c>
      <c r="K5" s="18"/>
      <c r="L5" s="18"/>
      <c r="M5" s="18"/>
      <c r="N5" s="18"/>
      <c r="O5" s="18"/>
      <c r="P5" s="18"/>
      <c r="Q5" s="18"/>
      <c r="R5" s="18"/>
      <c r="S5" s="32">
        <f t="shared" ref="S5:S18" si="0">+F5*$W$4+G5*$W$5+H5*$W$6+I5*$V$8+J5+K5+L5+M5+N5+O5+P5+Q5+R5</f>
        <v>7394.3799999999992</v>
      </c>
      <c r="U5" s="24" t="s">
        <v>45</v>
      </c>
      <c r="V5" s="28">
        <v>5</v>
      </c>
      <c r="W5" s="19">
        <f>+V5*$V$8-2</f>
        <v>28</v>
      </c>
    </row>
    <row r="6" spans="1:23" ht="16.5" customHeight="1" x14ac:dyDescent="0.25">
      <c r="B6">
        <v>4</v>
      </c>
      <c r="C6" s="18">
        <v>4.0039999999999996</v>
      </c>
      <c r="D6" s="18" t="s">
        <v>116</v>
      </c>
      <c r="E6" s="21" t="s">
        <v>54</v>
      </c>
      <c r="F6" s="18"/>
      <c r="G6" s="18"/>
      <c r="H6" s="18"/>
      <c r="I6" s="18">
        <v>1056.3399999999999</v>
      </c>
      <c r="J6" s="18"/>
      <c r="K6" s="18"/>
      <c r="L6" s="18"/>
      <c r="M6" s="18"/>
      <c r="N6" s="18"/>
      <c r="O6" s="18"/>
      <c r="P6" s="18"/>
      <c r="Q6" s="18"/>
      <c r="R6" s="18"/>
      <c r="S6" s="32">
        <f t="shared" si="0"/>
        <v>6338.0399999999991</v>
      </c>
      <c r="U6" s="24" t="s">
        <v>13</v>
      </c>
      <c r="V6" s="28">
        <v>1</v>
      </c>
      <c r="W6" s="19">
        <f>+V6*$V$8</f>
        <v>6</v>
      </c>
    </row>
    <row r="7" spans="1:23" ht="16.5" customHeight="1" x14ac:dyDescent="0.25">
      <c r="B7">
        <v>6</v>
      </c>
      <c r="C7" s="35">
        <v>4.0060000000000002</v>
      </c>
      <c r="D7" s="18" t="s">
        <v>118</v>
      </c>
      <c r="E7" s="21" t="s">
        <v>54</v>
      </c>
      <c r="F7" s="18"/>
      <c r="G7" s="18"/>
      <c r="H7" s="18"/>
      <c r="I7" s="18"/>
      <c r="J7" s="18">
        <v>1056.3399999999999</v>
      </c>
      <c r="K7" s="18"/>
      <c r="L7" s="18"/>
      <c r="M7" s="18"/>
      <c r="N7" s="18"/>
      <c r="O7" s="18"/>
      <c r="P7" s="18"/>
      <c r="Q7" s="18"/>
      <c r="R7" s="18"/>
      <c r="S7" s="32">
        <f t="shared" si="0"/>
        <v>1056.3399999999999</v>
      </c>
      <c r="U7" s="24" t="s">
        <v>7</v>
      </c>
      <c r="V7" s="28">
        <f>+SUM(V4:V6)</f>
        <v>20</v>
      </c>
      <c r="W7" s="19">
        <f>+SUM(W4:W6)</f>
        <v>118</v>
      </c>
    </row>
    <row r="8" spans="1:23" ht="16.5" customHeight="1" thickBot="1" x14ac:dyDescent="0.3">
      <c r="B8">
        <v>8</v>
      </c>
      <c r="C8" s="18">
        <v>4.008</v>
      </c>
      <c r="D8" s="18" t="s">
        <v>36</v>
      </c>
      <c r="E8" s="21" t="s">
        <v>53</v>
      </c>
      <c r="F8" s="18"/>
      <c r="G8" s="18"/>
      <c r="H8" s="18"/>
      <c r="I8" s="18">
        <v>11.45</v>
      </c>
      <c r="J8" s="18"/>
      <c r="K8" s="18"/>
      <c r="L8" s="18"/>
      <c r="M8" s="18"/>
      <c r="N8" s="18"/>
      <c r="O8" s="18"/>
      <c r="P8" s="18"/>
      <c r="Q8" s="18"/>
      <c r="R8" s="18"/>
      <c r="S8" s="32">
        <f t="shared" si="0"/>
        <v>68.699999999999989</v>
      </c>
      <c r="U8" s="25" t="s">
        <v>47</v>
      </c>
      <c r="V8" s="29">
        <v>6</v>
      </c>
      <c r="W8" s="31" t="s">
        <v>58</v>
      </c>
    </row>
    <row r="9" spans="1:23" ht="16.5" customHeight="1" x14ac:dyDescent="0.25">
      <c r="B9">
        <v>9</v>
      </c>
      <c r="C9" s="18">
        <v>4.0090000000000003</v>
      </c>
      <c r="D9" s="18" t="s">
        <v>172</v>
      </c>
      <c r="E9" s="40" t="s">
        <v>54</v>
      </c>
      <c r="F9" s="18"/>
      <c r="G9" s="18"/>
      <c r="H9" s="18"/>
      <c r="I9" s="18"/>
      <c r="J9" s="18"/>
      <c r="K9" s="18"/>
      <c r="L9" s="18">
        <v>1504.54</v>
      </c>
      <c r="M9" s="18">
        <v>1504.54</v>
      </c>
      <c r="N9" s="18"/>
      <c r="O9" s="18"/>
      <c r="P9" s="18"/>
      <c r="Q9" s="18"/>
      <c r="R9" s="18"/>
      <c r="S9" s="32">
        <f t="shared" si="0"/>
        <v>3009.08</v>
      </c>
    </row>
    <row r="10" spans="1:23" ht="16.5" customHeight="1" x14ac:dyDescent="0.25">
      <c r="B10">
        <v>10</v>
      </c>
      <c r="C10" s="35">
        <v>4.01</v>
      </c>
      <c r="D10" s="18" t="s">
        <v>179</v>
      </c>
      <c r="E10" s="21" t="s">
        <v>54</v>
      </c>
      <c r="F10" s="18"/>
      <c r="G10" s="18"/>
      <c r="H10" s="18"/>
      <c r="I10" s="18">
        <v>1056.3399999999999</v>
      </c>
      <c r="J10" s="18">
        <v>1056.3399999999999</v>
      </c>
      <c r="K10" s="18"/>
      <c r="L10" s="18"/>
      <c r="M10" s="18"/>
      <c r="N10" s="18"/>
      <c r="O10" s="18"/>
      <c r="P10" s="18"/>
      <c r="Q10" s="18"/>
      <c r="R10" s="18"/>
      <c r="S10" s="32">
        <f t="shared" si="0"/>
        <v>7394.3799999999992</v>
      </c>
    </row>
    <row r="11" spans="1:23" ht="16.5" customHeight="1" x14ac:dyDescent="0.25">
      <c r="B11">
        <v>16</v>
      </c>
      <c r="C11" s="18">
        <v>4.016</v>
      </c>
      <c r="D11" s="18" t="s">
        <v>38</v>
      </c>
      <c r="E11" s="21" t="s">
        <v>50</v>
      </c>
      <c r="F11" s="18"/>
      <c r="G11" s="18"/>
      <c r="H11" s="18"/>
      <c r="I11" s="18"/>
      <c r="J11" s="18">
        <v>121690.66</v>
      </c>
      <c r="K11" s="18"/>
      <c r="L11" s="18"/>
      <c r="M11" s="18"/>
      <c r="N11" s="18"/>
      <c r="O11" s="18"/>
      <c r="P11" s="18"/>
      <c r="Q11" s="18"/>
      <c r="R11" s="18"/>
      <c r="S11" s="49">
        <f t="shared" si="0"/>
        <v>121690.66</v>
      </c>
    </row>
    <row r="12" spans="1:23" ht="16.5" customHeight="1" x14ac:dyDescent="0.25">
      <c r="B12">
        <v>17</v>
      </c>
      <c r="C12" s="18">
        <v>4.0170000000000003</v>
      </c>
      <c r="D12" s="18" t="s">
        <v>39</v>
      </c>
      <c r="E12" s="21" t="s">
        <v>50</v>
      </c>
      <c r="F12" s="18"/>
      <c r="G12" s="18"/>
      <c r="H12" s="18"/>
      <c r="I12" s="18">
        <v>4276.45</v>
      </c>
      <c r="J12" s="18"/>
      <c r="K12" s="18"/>
      <c r="L12" s="18"/>
      <c r="M12" s="18"/>
      <c r="N12" s="18"/>
      <c r="O12" s="18"/>
      <c r="P12" s="18"/>
      <c r="Q12" s="18"/>
      <c r="R12" s="18"/>
      <c r="S12" s="32">
        <f t="shared" si="0"/>
        <v>25658.699999999997</v>
      </c>
    </row>
    <row r="13" spans="1:23" ht="16.5" customHeight="1" x14ac:dyDescent="0.25">
      <c r="B13">
        <v>18</v>
      </c>
      <c r="C13" s="18">
        <v>4.0179999999999998</v>
      </c>
      <c r="D13" s="18" t="s">
        <v>110</v>
      </c>
      <c r="E13" s="42" t="s">
        <v>77</v>
      </c>
      <c r="F13" s="18"/>
      <c r="G13" s="18"/>
      <c r="H13" s="18"/>
      <c r="I13" s="18"/>
      <c r="J13" s="18"/>
      <c r="K13" s="18"/>
      <c r="L13" s="18">
        <v>16.850000000000001</v>
      </c>
      <c r="M13" s="18">
        <v>15.63</v>
      </c>
      <c r="N13" s="18"/>
      <c r="O13" s="18"/>
      <c r="P13" s="18"/>
      <c r="Q13" s="18"/>
      <c r="R13" s="18"/>
      <c r="S13" s="32">
        <f t="shared" si="0"/>
        <v>32.480000000000004</v>
      </c>
    </row>
    <row r="14" spans="1:23" ht="16.5" customHeight="1" x14ac:dyDescent="0.25">
      <c r="B14">
        <v>19</v>
      </c>
      <c r="C14" s="18">
        <v>4.0190000000000001</v>
      </c>
      <c r="D14" s="18" t="s">
        <v>90</v>
      </c>
      <c r="E14" s="21" t="s">
        <v>53</v>
      </c>
      <c r="F14" s="18"/>
      <c r="G14" s="18"/>
      <c r="H14" s="18"/>
      <c r="I14" s="18">
        <v>24.19</v>
      </c>
      <c r="J14" s="18">
        <v>24.19</v>
      </c>
      <c r="K14" s="18"/>
      <c r="L14" s="18"/>
      <c r="M14" s="18"/>
      <c r="N14" s="18"/>
      <c r="O14" s="18"/>
      <c r="P14" s="18"/>
      <c r="Q14" s="18"/>
      <c r="R14" s="18"/>
      <c r="S14" s="32">
        <f t="shared" si="0"/>
        <v>169.33</v>
      </c>
    </row>
    <row r="15" spans="1:23" ht="16.5" customHeight="1" x14ac:dyDescent="0.25">
      <c r="B15">
        <v>20</v>
      </c>
      <c r="C15" s="35">
        <v>4.0199999999999996</v>
      </c>
      <c r="D15" s="18" t="s">
        <v>76</v>
      </c>
      <c r="E15" s="21" t="s">
        <v>53</v>
      </c>
      <c r="F15" s="18"/>
      <c r="G15" s="18"/>
      <c r="H15" s="18"/>
      <c r="I15" s="18">
        <v>9.5</v>
      </c>
      <c r="J15" s="18"/>
      <c r="K15" s="18">
        <v>9.5</v>
      </c>
      <c r="L15" s="18">
        <v>9.5</v>
      </c>
      <c r="M15" s="18">
        <v>9.5</v>
      </c>
      <c r="N15" s="18"/>
      <c r="O15" s="18"/>
      <c r="P15" s="18"/>
      <c r="Q15" s="18"/>
      <c r="R15" s="18"/>
      <c r="S15" s="32">
        <f t="shared" si="0"/>
        <v>85.5</v>
      </c>
    </row>
    <row r="16" spans="1:23" ht="16.5" customHeight="1" x14ac:dyDescent="0.25">
      <c r="B16">
        <v>21</v>
      </c>
      <c r="C16" s="18">
        <v>4.0209999999999999</v>
      </c>
      <c r="D16" s="18" t="s">
        <v>102</v>
      </c>
      <c r="E16" s="36" t="s">
        <v>53</v>
      </c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>
        <v>30.06</v>
      </c>
      <c r="S16" s="32">
        <f t="shared" si="0"/>
        <v>30.06</v>
      </c>
    </row>
    <row r="17" spans="2:19" ht="16.5" customHeight="1" x14ac:dyDescent="0.25">
      <c r="B17">
        <v>22</v>
      </c>
      <c r="C17" s="18">
        <v>4.0220000000000002</v>
      </c>
      <c r="D17" s="18" t="s">
        <v>103</v>
      </c>
      <c r="E17" s="36" t="s">
        <v>50</v>
      </c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>
        <v>3607.2</v>
      </c>
      <c r="S17" s="32">
        <f t="shared" si="0"/>
        <v>3607.2</v>
      </c>
    </row>
    <row r="18" spans="2:19" ht="16.5" customHeight="1" x14ac:dyDescent="0.25">
      <c r="B18">
        <v>23</v>
      </c>
      <c r="C18" s="18">
        <v>4.0229999999999997</v>
      </c>
      <c r="D18" s="18" t="s">
        <v>181</v>
      </c>
      <c r="E18" s="36" t="s">
        <v>54</v>
      </c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35.75</v>
      </c>
      <c r="S18" s="32">
        <f t="shared" si="0"/>
        <v>35.75</v>
      </c>
    </row>
  </sheetData>
  <mergeCells count="2">
    <mergeCell ref="F3:S3"/>
    <mergeCell ref="D4:S4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1:I195"/>
  <sheetViews>
    <sheetView workbookViewId="0"/>
  </sheetViews>
  <sheetFormatPr baseColWidth="10" defaultRowHeight="15" x14ac:dyDescent="0.25"/>
  <cols>
    <col min="2" max="2" width="5.85546875" customWidth="1"/>
    <col min="3" max="4" width="2.140625" customWidth="1"/>
    <col min="5" max="5" width="4.140625" customWidth="1"/>
    <col min="6" max="6" width="52.5703125" customWidth="1"/>
    <col min="7" max="7" width="9.140625" customWidth="1"/>
    <col min="8" max="8" width="10.42578125" customWidth="1"/>
    <col min="9" max="9" width="10.28515625" customWidth="1"/>
  </cols>
  <sheetData>
    <row r="1" spans="2:9" x14ac:dyDescent="0.25">
      <c r="B1" s="10"/>
      <c r="C1" s="10"/>
      <c r="D1" s="10"/>
      <c r="E1" s="10"/>
      <c r="F1" s="10"/>
      <c r="G1" s="10"/>
      <c r="H1" s="10"/>
      <c r="I1" s="10"/>
    </row>
    <row r="2" spans="2:9" ht="15.75" x14ac:dyDescent="0.25">
      <c r="B2" s="12" t="s">
        <v>17</v>
      </c>
      <c r="C2" s="79" t="s">
        <v>16</v>
      </c>
      <c r="D2" s="79"/>
      <c r="E2" s="79"/>
      <c r="F2" s="79"/>
      <c r="G2" s="79"/>
      <c r="H2" s="79"/>
      <c r="I2" s="80"/>
    </row>
    <row r="3" spans="2:9" x14ac:dyDescent="0.25">
      <c r="B3" s="10"/>
      <c r="C3" s="10"/>
      <c r="D3" s="10"/>
      <c r="E3" s="10"/>
      <c r="F3" s="10"/>
      <c r="G3" s="10"/>
      <c r="H3" s="10"/>
      <c r="I3" s="10"/>
    </row>
    <row r="4" spans="2:9" ht="15.75" x14ac:dyDescent="0.25">
      <c r="B4" s="11" t="s">
        <v>17</v>
      </c>
      <c r="C4" s="76" t="s">
        <v>49</v>
      </c>
      <c r="D4" s="78"/>
      <c r="E4" s="78"/>
      <c r="F4" s="78"/>
      <c r="G4" s="78"/>
      <c r="H4" s="78"/>
      <c r="I4" s="77"/>
    </row>
    <row r="5" spans="2:9" ht="15.75" x14ac:dyDescent="0.25">
      <c r="B5" s="51"/>
      <c r="C5" s="52"/>
      <c r="D5" s="52"/>
      <c r="E5" s="52"/>
      <c r="F5" s="52"/>
      <c r="G5" s="52"/>
      <c r="H5" s="52"/>
      <c r="I5" s="52"/>
    </row>
    <row r="6" spans="2:9" ht="15.75" x14ac:dyDescent="0.25">
      <c r="B6" s="3" t="s">
        <v>0</v>
      </c>
      <c r="C6" s="3" t="str">
        <f>+$B$2</f>
        <v>4.</v>
      </c>
      <c r="D6" s="4" t="str">
        <f>+$B$4</f>
        <v>4.</v>
      </c>
      <c r="E6" s="50">
        <v>1</v>
      </c>
      <c r="F6" s="76" t="s">
        <v>178</v>
      </c>
      <c r="G6" s="77"/>
      <c r="H6" s="1" t="s">
        <v>1</v>
      </c>
      <c r="I6" s="1" t="s">
        <v>54</v>
      </c>
    </row>
    <row r="7" spans="2:9" ht="15.75" x14ac:dyDescent="0.25">
      <c r="B7" s="73" t="s">
        <v>2</v>
      </c>
      <c r="C7" s="74"/>
      <c r="D7" s="74"/>
      <c r="E7" s="74"/>
      <c r="F7" s="1" t="s">
        <v>3</v>
      </c>
      <c r="G7" s="1" t="s">
        <v>4</v>
      </c>
      <c r="H7" s="1" t="s">
        <v>5</v>
      </c>
      <c r="I7" s="1" t="s">
        <v>6</v>
      </c>
    </row>
    <row r="8" spans="2:9" ht="15.75" x14ac:dyDescent="0.25">
      <c r="B8" s="73" t="s">
        <v>73</v>
      </c>
      <c r="C8" s="73"/>
      <c r="D8" s="73"/>
      <c r="E8" s="73"/>
      <c r="F8" s="1" t="s">
        <v>180</v>
      </c>
      <c r="G8" s="1">
        <v>1</v>
      </c>
      <c r="H8" s="1">
        <f>+I44</f>
        <v>1056.34095</v>
      </c>
      <c r="I8" s="1"/>
    </row>
    <row r="9" spans="2:9" ht="15.75" x14ac:dyDescent="0.25">
      <c r="B9" s="71"/>
      <c r="C9" s="72"/>
      <c r="D9" s="72"/>
      <c r="E9" s="72"/>
      <c r="F9" s="4" t="s">
        <v>7</v>
      </c>
      <c r="G9" s="4"/>
      <c r="H9" s="6"/>
      <c r="I9" s="6">
        <f>+SUM(H8:H8)</f>
        <v>1056.34095</v>
      </c>
    </row>
    <row r="10" spans="2:9" x14ac:dyDescent="0.25">
      <c r="B10" s="10"/>
      <c r="C10" s="10"/>
      <c r="D10" s="10"/>
      <c r="E10" s="10"/>
      <c r="F10" s="10"/>
      <c r="G10" s="10"/>
      <c r="H10" s="10"/>
      <c r="I10" s="10"/>
    </row>
    <row r="11" spans="2:9" ht="15.75" x14ac:dyDescent="0.25">
      <c r="B11" s="3" t="s">
        <v>0</v>
      </c>
      <c r="C11" s="3" t="str">
        <f>+$B$2</f>
        <v>4.</v>
      </c>
      <c r="D11" s="4" t="str">
        <f>+$B$4</f>
        <v>4.</v>
      </c>
      <c r="E11" s="50">
        <v>10</v>
      </c>
      <c r="F11" s="76" t="s">
        <v>179</v>
      </c>
      <c r="G11" s="77"/>
      <c r="H11" s="1" t="s">
        <v>1</v>
      </c>
      <c r="I11" s="1" t="s">
        <v>54</v>
      </c>
    </row>
    <row r="12" spans="2:9" ht="15.75" x14ac:dyDescent="0.25">
      <c r="B12" s="73" t="s">
        <v>2</v>
      </c>
      <c r="C12" s="74"/>
      <c r="D12" s="74"/>
      <c r="E12" s="74"/>
      <c r="F12" s="1" t="s">
        <v>3</v>
      </c>
      <c r="G12" s="1" t="s">
        <v>4</v>
      </c>
      <c r="H12" s="1" t="s">
        <v>5</v>
      </c>
      <c r="I12" s="1" t="s">
        <v>6</v>
      </c>
    </row>
    <row r="13" spans="2:9" ht="15.75" x14ac:dyDescent="0.25">
      <c r="B13" s="73" t="s">
        <v>73</v>
      </c>
      <c r="C13" s="73"/>
      <c r="D13" s="73"/>
      <c r="E13" s="73"/>
      <c r="F13" s="1" t="s">
        <v>180</v>
      </c>
      <c r="G13" s="1">
        <v>1</v>
      </c>
      <c r="H13" s="1">
        <f>+I44</f>
        <v>1056.34095</v>
      </c>
      <c r="I13" s="1"/>
    </row>
    <row r="14" spans="2:9" ht="15.75" x14ac:dyDescent="0.25">
      <c r="B14" s="71"/>
      <c r="C14" s="72"/>
      <c r="D14" s="72"/>
      <c r="E14" s="72"/>
      <c r="F14" s="4" t="s">
        <v>7</v>
      </c>
      <c r="G14" s="4"/>
      <c r="H14" s="6"/>
      <c r="I14" s="6">
        <f>+SUM(H13:H13)</f>
        <v>1056.34095</v>
      </c>
    </row>
    <row r="15" spans="2:9" x14ac:dyDescent="0.25">
      <c r="B15" s="10"/>
      <c r="C15" s="10"/>
      <c r="D15" s="10"/>
      <c r="E15" s="10"/>
      <c r="F15" s="10"/>
      <c r="G15" s="10"/>
      <c r="H15" s="10"/>
      <c r="I15" s="10"/>
    </row>
    <row r="16" spans="2:9" ht="15.75" x14ac:dyDescent="0.25">
      <c r="B16" s="3" t="s">
        <v>0</v>
      </c>
      <c r="C16" s="3" t="str">
        <f>+$B$2</f>
        <v>4.</v>
      </c>
      <c r="D16" s="4" t="str">
        <f>+$B$4</f>
        <v>4.</v>
      </c>
      <c r="E16" s="50">
        <v>14</v>
      </c>
      <c r="F16" s="76" t="s">
        <v>37</v>
      </c>
      <c r="G16" s="77"/>
      <c r="H16" s="1" t="s">
        <v>1</v>
      </c>
      <c r="I16" s="1" t="s">
        <v>54</v>
      </c>
    </row>
    <row r="17" spans="2:9" ht="15.75" x14ac:dyDescent="0.25">
      <c r="B17" s="73" t="s">
        <v>2</v>
      </c>
      <c r="C17" s="74"/>
      <c r="D17" s="74"/>
      <c r="E17" s="74"/>
      <c r="F17" s="1" t="s">
        <v>3</v>
      </c>
      <c r="G17" s="1" t="s">
        <v>4</v>
      </c>
      <c r="H17" s="1" t="s">
        <v>5</v>
      </c>
      <c r="I17" s="1" t="s">
        <v>6</v>
      </c>
    </row>
    <row r="18" spans="2:9" ht="15.75" x14ac:dyDescent="0.25">
      <c r="B18" s="73" t="s">
        <v>73</v>
      </c>
      <c r="C18" s="73"/>
      <c r="D18" s="73"/>
      <c r="E18" s="73"/>
      <c r="F18" s="1" t="s">
        <v>180</v>
      </c>
      <c r="G18" s="1">
        <v>1</v>
      </c>
      <c r="H18" s="1">
        <f>+I49</f>
        <v>0</v>
      </c>
      <c r="I18" s="1"/>
    </row>
    <row r="19" spans="2:9" ht="15.75" x14ac:dyDescent="0.25">
      <c r="B19" s="73"/>
      <c r="C19" s="73"/>
      <c r="D19" s="73"/>
      <c r="E19" s="73"/>
      <c r="F19" s="1"/>
      <c r="G19" s="1"/>
      <c r="H19" s="1"/>
      <c r="I19" s="1"/>
    </row>
    <row r="20" spans="2:9" ht="15.75" x14ac:dyDescent="0.25">
      <c r="B20" s="71"/>
      <c r="C20" s="72"/>
      <c r="D20" s="72"/>
      <c r="E20" s="72"/>
      <c r="F20" s="4" t="s">
        <v>7</v>
      </c>
      <c r="G20" s="4"/>
      <c r="H20" s="6"/>
      <c r="I20" s="6">
        <f>+SUM(H18:H18)</f>
        <v>0</v>
      </c>
    </row>
    <row r="21" spans="2:9" x14ac:dyDescent="0.25">
      <c r="B21" s="10"/>
      <c r="C21" s="10"/>
      <c r="D21" s="10"/>
      <c r="E21" s="10"/>
      <c r="F21" s="10"/>
      <c r="G21" s="10"/>
      <c r="H21" s="10"/>
      <c r="I21" s="10"/>
    </row>
    <row r="22" spans="2:9" ht="15.75" x14ac:dyDescent="0.25">
      <c r="B22" s="3" t="s">
        <v>0</v>
      </c>
      <c r="C22" s="3" t="str">
        <f>+$B$2</f>
        <v>4.</v>
      </c>
      <c r="D22" s="4" t="str">
        <f>+$B$4</f>
        <v>4.</v>
      </c>
      <c r="E22" s="5">
        <v>4</v>
      </c>
      <c r="F22" s="76" t="s">
        <v>116</v>
      </c>
      <c r="G22" s="77"/>
      <c r="H22" s="1" t="s">
        <v>1</v>
      </c>
      <c r="I22" s="1" t="s">
        <v>54</v>
      </c>
    </row>
    <row r="23" spans="2:9" ht="15.75" x14ac:dyDescent="0.25">
      <c r="B23" s="73" t="s">
        <v>2</v>
      </c>
      <c r="C23" s="74"/>
      <c r="D23" s="74"/>
      <c r="E23" s="74"/>
      <c r="F23" s="1" t="s">
        <v>3</v>
      </c>
      <c r="G23" s="1" t="s">
        <v>4</v>
      </c>
      <c r="H23" s="1" t="s">
        <v>5</v>
      </c>
      <c r="I23" s="1" t="s">
        <v>6</v>
      </c>
    </row>
    <row r="24" spans="2:9" ht="15.75" x14ac:dyDescent="0.25">
      <c r="B24" s="73" t="s">
        <v>30</v>
      </c>
      <c r="C24" s="73"/>
      <c r="D24" s="73"/>
      <c r="E24" s="73"/>
      <c r="F24" s="1" t="s">
        <v>111</v>
      </c>
      <c r="G24" s="1">
        <v>1</v>
      </c>
      <c r="H24" s="1">
        <f>24.16*5.78</f>
        <v>139.6448</v>
      </c>
      <c r="I24" s="1"/>
    </row>
    <row r="25" spans="2:9" ht="15.75" x14ac:dyDescent="0.25">
      <c r="B25" s="73"/>
      <c r="C25" s="73"/>
      <c r="D25" s="73"/>
      <c r="E25" s="73"/>
      <c r="F25" s="1" t="s">
        <v>96</v>
      </c>
      <c r="G25" s="1"/>
      <c r="H25" s="1"/>
      <c r="I25" s="1"/>
    </row>
    <row r="26" spans="2:9" ht="30.75" x14ac:dyDescent="0.25">
      <c r="B26" s="73" t="s">
        <v>21</v>
      </c>
      <c r="C26" s="73"/>
      <c r="D26" s="73"/>
      <c r="E26" s="73"/>
      <c r="F26" s="7" t="s">
        <v>59</v>
      </c>
      <c r="G26" s="8">
        <v>1</v>
      </c>
      <c r="H26" s="8">
        <f>+(1.69+1.26)/2*5.05+1.32*2.4+1.2*10.38+(1.57+1.08)/2*5.75+1.2*2.35+0.22*2.6</f>
        <v>34.083500000000001</v>
      </c>
      <c r="I26" s="1"/>
    </row>
    <row r="27" spans="2:9" ht="45.75" x14ac:dyDescent="0.25">
      <c r="B27" s="73"/>
      <c r="C27" s="73"/>
      <c r="D27" s="73"/>
      <c r="E27" s="73"/>
      <c r="F27" s="7" t="s">
        <v>60</v>
      </c>
      <c r="G27" s="8"/>
      <c r="H27" s="8"/>
      <c r="I27" s="1"/>
    </row>
    <row r="28" spans="2:9" ht="15.75" x14ac:dyDescent="0.25">
      <c r="B28" s="73" t="s">
        <v>27</v>
      </c>
      <c r="C28" s="73"/>
      <c r="D28" s="73"/>
      <c r="E28" s="73"/>
      <c r="F28" s="8" t="s">
        <v>61</v>
      </c>
      <c r="G28" s="8">
        <v>1</v>
      </c>
      <c r="H28" s="8">
        <f>2.9*1.15</f>
        <v>3.3349999999999995</v>
      </c>
      <c r="I28" s="1"/>
    </row>
    <row r="29" spans="2:9" ht="15.75" x14ac:dyDescent="0.25">
      <c r="B29" s="73"/>
      <c r="C29" s="73"/>
      <c r="D29" s="73"/>
      <c r="E29" s="73"/>
      <c r="F29" s="8" t="s">
        <v>97</v>
      </c>
      <c r="G29" s="8"/>
      <c r="H29" s="8"/>
      <c r="I29" s="1"/>
    </row>
    <row r="30" spans="2:9" ht="30.75" x14ac:dyDescent="0.25">
      <c r="B30" s="73" t="s">
        <v>21</v>
      </c>
      <c r="C30" s="73"/>
      <c r="D30" s="73"/>
      <c r="E30" s="73"/>
      <c r="F30" s="7" t="s">
        <v>62</v>
      </c>
      <c r="G30" s="8">
        <v>1</v>
      </c>
      <c r="H30" s="8">
        <f>+(1.13+1.27)/2*5.75+1.2*5.53+(1.3+1.44)/2*5.77+2.34*1.2+0.22*2.6</f>
        <v>24.820899999999998</v>
      </c>
      <c r="I30" s="1"/>
    </row>
    <row r="31" spans="2:9" ht="45.75" x14ac:dyDescent="0.25">
      <c r="B31" s="73"/>
      <c r="C31" s="73"/>
      <c r="D31" s="73"/>
      <c r="E31" s="73"/>
      <c r="F31" s="7" t="s">
        <v>63</v>
      </c>
      <c r="G31" s="8"/>
      <c r="H31" s="8"/>
      <c r="I31" s="1"/>
    </row>
    <row r="32" spans="2:9" ht="15.75" x14ac:dyDescent="0.25">
      <c r="B32" s="73" t="s">
        <v>31</v>
      </c>
      <c r="C32" s="73"/>
      <c r="D32" s="73"/>
      <c r="E32" s="73"/>
      <c r="F32" s="8" t="s">
        <v>82</v>
      </c>
      <c r="G32" s="8">
        <v>1</v>
      </c>
      <c r="H32" s="8">
        <f>5.76*23.92</f>
        <v>137.7792</v>
      </c>
      <c r="I32" s="1"/>
    </row>
    <row r="33" spans="2:9" ht="15.75" x14ac:dyDescent="0.25">
      <c r="B33" s="73"/>
      <c r="C33" s="73"/>
      <c r="D33" s="73"/>
      <c r="E33" s="73"/>
      <c r="F33" s="1" t="s">
        <v>98</v>
      </c>
      <c r="G33" s="8"/>
      <c r="H33" s="8"/>
      <c r="I33" s="1"/>
    </row>
    <row r="34" spans="2:9" ht="15.75" x14ac:dyDescent="0.25">
      <c r="B34" s="73" t="s">
        <v>22</v>
      </c>
      <c r="C34" s="73"/>
      <c r="D34" s="73"/>
      <c r="E34" s="73"/>
      <c r="F34" s="8" t="s">
        <v>64</v>
      </c>
      <c r="G34" s="8">
        <v>1</v>
      </c>
      <c r="H34" s="8">
        <f>+(1.72+1.2)/2*24.6+1.72*0.15/2</f>
        <v>36.045000000000002</v>
      </c>
      <c r="I34" s="1"/>
    </row>
    <row r="35" spans="2:9" ht="15.75" x14ac:dyDescent="0.25">
      <c r="B35" s="71"/>
      <c r="C35" s="72"/>
      <c r="D35" s="72"/>
      <c r="E35" s="81"/>
      <c r="F35" s="8" t="s">
        <v>65</v>
      </c>
      <c r="G35" s="8"/>
      <c r="H35" s="8"/>
      <c r="I35" s="1"/>
    </row>
    <row r="36" spans="2:9" ht="15.75" x14ac:dyDescent="0.25">
      <c r="B36" s="73" t="s">
        <v>24</v>
      </c>
      <c r="C36" s="73"/>
      <c r="D36" s="73"/>
      <c r="E36" s="73"/>
      <c r="F36" s="8" t="s">
        <v>69</v>
      </c>
      <c r="G36" s="8">
        <v>1</v>
      </c>
      <c r="H36" s="8">
        <f>1.21*24.94+0.63*2.41</f>
        <v>31.695700000000002</v>
      </c>
      <c r="I36" s="1"/>
    </row>
    <row r="37" spans="2:9" ht="15.75" x14ac:dyDescent="0.25">
      <c r="B37" s="73"/>
      <c r="C37" s="73"/>
      <c r="D37" s="73"/>
      <c r="E37" s="73"/>
      <c r="F37" s="8" t="s">
        <v>65</v>
      </c>
      <c r="G37" s="8"/>
      <c r="H37" s="8"/>
      <c r="I37" s="1"/>
    </row>
    <row r="38" spans="2:9" ht="15.75" x14ac:dyDescent="0.25">
      <c r="B38" s="75" t="s">
        <v>32</v>
      </c>
      <c r="C38" s="75"/>
      <c r="D38" s="75"/>
      <c r="E38" s="75"/>
      <c r="F38" s="7" t="s">
        <v>83</v>
      </c>
      <c r="G38" s="8">
        <v>1</v>
      </c>
      <c r="H38" s="8">
        <f>9.86*19.35+5.75*23.8+(4.25+4.37)/2*9.74</f>
        <v>369.62039999999996</v>
      </c>
      <c r="I38" s="1"/>
    </row>
    <row r="39" spans="2:9" ht="15.75" x14ac:dyDescent="0.25">
      <c r="B39" s="75"/>
      <c r="C39" s="75"/>
      <c r="D39" s="75"/>
      <c r="E39" s="75"/>
      <c r="F39" s="8" t="s">
        <v>99</v>
      </c>
      <c r="G39" s="8"/>
      <c r="H39" s="8"/>
      <c r="I39" s="1"/>
    </row>
    <row r="40" spans="2:9" ht="15.75" x14ac:dyDescent="0.25">
      <c r="B40" s="75" t="s">
        <v>66</v>
      </c>
      <c r="C40" s="75"/>
      <c r="D40" s="75"/>
      <c r="E40" s="75"/>
      <c r="F40" s="8" t="s">
        <v>67</v>
      </c>
      <c r="G40" s="8">
        <v>1</v>
      </c>
      <c r="H40" s="8">
        <f>5.75*39.73-1.15*1.56*5</f>
        <v>219.47749999999999</v>
      </c>
      <c r="I40" s="1"/>
    </row>
    <row r="41" spans="2:9" ht="15.75" x14ac:dyDescent="0.25">
      <c r="B41" s="75"/>
      <c r="C41" s="75"/>
      <c r="D41" s="75"/>
      <c r="E41" s="75"/>
      <c r="F41" s="8" t="s">
        <v>93</v>
      </c>
      <c r="G41" s="8"/>
      <c r="H41" s="8"/>
      <c r="I41" s="1"/>
    </row>
    <row r="42" spans="2:9" ht="30.75" x14ac:dyDescent="0.25">
      <c r="B42" s="75" t="s">
        <v>28</v>
      </c>
      <c r="C42" s="75"/>
      <c r="D42" s="75"/>
      <c r="E42" s="75"/>
      <c r="F42" s="7" t="s">
        <v>68</v>
      </c>
      <c r="G42" s="8">
        <v>1</v>
      </c>
      <c r="H42" s="8">
        <f>+(1.18+1.34)/2*18.22+(1.34+1.3)/2*12.05+(1.3+1.25)/2*10.81+(1.25+1.19)/2*5.8+0.1*1.17</f>
        <v>59.838950000000004</v>
      </c>
      <c r="I42" s="1"/>
    </row>
    <row r="43" spans="2:9" ht="32.25" customHeight="1" x14ac:dyDescent="0.25">
      <c r="B43" s="75"/>
      <c r="C43" s="75"/>
      <c r="D43" s="75"/>
      <c r="E43" s="75"/>
      <c r="F43" s="7" t="s">
        <v>92</v>
      </c>
      <c r="G43" s="8"/>
      <c r="H43" s="8"/>
      <c r="I43" s="1"/>
    </row>
    <row r="44" spans="2:9" ht="15.75" x14ac:dyDescent="0.25">
      <c r="B44" s="71"/>
      <c r="C44" s="72"/>
      <c r="D44" s="72"/>
      <c r="E44" s="72"/>
      <c r="F44" s="4" t="s">
        <v>7</v>
      </c>
      <c r="G44" s="4"/>
      <c r="H44" s="6"/>
      <c r="I44" s="6">
        <f>+SUM(H24:H42)</f>
        <v>1056.34095</v>
      </c>
    </row>
    <row r="45" spans="2:9" x14ac:dyDescent="0.25">
      <c r="B45" s="10"/>
      <c r="C45" s="10"/>
      <c r="D45" s="10"/>
      <c r="E45" s="10"/>
      <c r="F45" s="10"/>
      <c r="G45" s="10"/>
      <c r="H45" s="10"/>
      <c r="I45" s="10"/>
    </row>
    <row r="46" spans="2:9" ht="15.75" x14ac:dyDescent="0.25">
      <c r="B46" s="3" t="s">
        <v>0</v>
      </c>
      <c r="C46" s="3" t="str">
        <f>+$B$2</f>
        <v>4.</v>
      </c>
      <c r="D46" s="4" t="str">
        <f>+$B$4</f>
        <v>4.</v>
      </c>
      <c r="E46" s="5">
        <v>19</v>
      </c>
      <c r="F46" s="76" t="s">
        <v>90</v>
      </c>
      <c r="G46" s="77"/>
      <c r="H46" s="1" t="s">
        <v>1</v>
      </c>
      <c r="I46" s="1" t="s">
        <v>53</v>
      </c>
    </row>
    <row r="47" spans="2:9" ht="15.75" x14ac:dyDescent="0.25">
      <c r="B47" s="73" t="s">
        <v>2</v>
      </c>
      <c r="C47" s="74"/>
      <c r="D47" s="74"/>
      <c r="E47" s="74"/>
      <c r="F47" s="1" t="s">
        <v>3</v>
      </c>
      <c r="G47" s="1" t="s">
        <v>4</v>
      </c>
      <c r="H47" s="1" t="s">
        <v>5</v>
      </c>
      <c r="I47" s="1" t="s">
        <v>6</v>
      </c>
    </row>
    <row r="48" spans="2:9" ht="15.75" x14ac:dyDescent="0.25">
      <c r="B48" s="73"/>
      <c r="C48" s="73"/>
      <c r="D48" s="73"/>
      <c r="E48" s="73"/>
      <c r="F48" s="1" t="s">
        <v>113</v>
      </c>
      <c r="G48" s="1"/>
      <c r="H48" s="1"/>
      <c r="I48" s="1"/>
    </row>
    <row r="49" spans="2:9" ht="15.75" x14ac:dyDescent="0.25">
      <c r="B49" s="73" t="s">
        <v>74</v>
      </c>
      <c r="C49" s="73"/>
      <c r="D49" s="73"/>
      <c r="E49" s="73"/>
      <c r="F49" s="13" t="s">
        <v>148</v>
      </c>
      <c r="G49" s="8">
        <v>9</v>
      </c>
      <c r="H49" s="8">
        <f>+(2.4)*(0.8*0.3)*G49</f>
        <v>5.1839999999999993</v>
      </c>
      <c r="I49" s="1"/>
    </row>
    <row r="50" spans="2:9" ht="15.75" x14ac:dyDescent="0.25">
      <c r="B50" s="73"/>
      <c r="C50" s="73"/>
      <c r="D50" s="73"/>
      <c r="E50" s="73"/>
      <c r="F50" s="8" t="s">
        <v>108</v>
      </c>
      <c r="G50" s="8"/>
      <c r="H50" s="8"/>
      <c r="I50" s="1"/>
    </row>
    <row r="51" spans="2:9" ht="15.75" x14ac:dyDescent="0.25">
      <c r="B51" s="73" t="s">
        <v>104</v>
      </c>
      <c r="C51" s="73"/>
      <c r="D51" s="73"/>
      <c r="E51" s="73"/>
      <c r="F51" s="13" t="s">
        <v>148</v>
      </c>
      <c r="G51" s="8">
        <v>9</v>
      </c>
      <c r="H51" s="8">
        <f>+(2.4)*(0.8*0.3)*G51</f>
        <v>5.1839999999999993</v>
      </c>
      <c r="I51" s="1"/>
    </row>
    <row r="52" spans="2:9" ht="30.75" x14ac:dyDescent="0.25">
      <c r="B52" s="73"/>
      <c r="C52" s="73"/>
      <c r="D52" s="73"/>
      <c r="E52" s="73"/>
      <c r="F52" s="7" t="s">
        <v>114</v>
      </c>
      <c r="G52" s="8"/>
      <c r="H52" s="8"/>
      <c r="I52" s="1"/>
    </row>
    <row r="53" spans="2:9" ht="15.75" x14ac:dyDescent="0.25">
      <c r="B53" s="73" t="s">
        <v>105</v>
      </c>
      <c r="C53" s="73"/>
      <c r="D53" s="73"/>
      <c r="E53" s="73"/>
      <c r="F53" s="13" t="s">
        <v>148</v>
      </c>
      <c r="G53" s="8">
        <v>6</v>
      </c>
      <c r="H53" s="8">
        <f>+(2.4)*(0.8*0.3)*G53</f>
        <v>3.4559999999999995</v>
      </c>
      <c r="I53" s="1"/>
    </row>
    <row r="54" spans="2:9" ht="15.75" x14ac:dyDescent="0.25">
      <c r="B54" s="73"/>
      <c r="C54" s="73"/>
      <c r="D54" s="73"/>
      <c r="E54" s="73"/>
      <c r="F54" s="8" t="s">
        <v>108</v>
      </c>
      <c r="G54" s="8"/>
      <c r="H54" s="8"/>
      <c r="I54" s="1"/>
    </row>
    <row r="55" spans="2:9" ht="15.75" x14ac:dyDescent="0.25">
      <c r="B55" s="73" t="s">
        <v>106</v>
      </c>
      <c r="C55" s="73"/>
      <c r="D55" s="73"/>
      <c r="E55" s="73"/>
      <c r="F55" s="13" t="s">
        <v>148</v>
      </c>
      <c r="G55" s="8">
        <v>10</v>
      </c>
      <c r="H55" s="8">
        <f>+(2.4)*(0.8*0.3)*G55</f>
        <v>5.76</v>
      </c>
      <c r="I55" s="1"/>
    </row>
    <row r="56" spans="2:9" ht="30.75" x14ac:dyDescent="0.25">
      <c r="B56" s="73"/>
      <c r="C56" s="73"/>
      <c r="D56" s="73"/>
      <c r="E56" s="73"/>
      <c r="F56" s="7" t="s">
        <v>115</v>
      </c>
      <c r="G56" s="8"/>
      <c r="H56" s="8"/>
      <c r="I56" s="1"/>
    </row>
    <row r="57" spans="2:9" ht="15.75" x14ac:dyDescent="0.25">
      <c r="B57" s="73" t="s">
        <v>75</v>
      </c>
      <c r="C57" s="73"/>
      <c r="D57" s="73"/>
      <c r="E57" s="73"/>
      <c r="F57" s="13" t="s">
        <v>148</v>
      </c>
      <c r="G57" s="8">
        <v>4</v>
      </c>
      <c r="H57" s="8">
        <f>+(2.4)*(0.8*0.3)*G57</f>
        <v>2.3039999999999998</v>
      </c>
      <c r="I57" s="1"/>
    </row>
    <row r="58" spans="2:9" ht="15.75" x14ac:dyDescent="0.25">
      <c r="B58" s="73"/>
      <c r="C58" s="73"/>
      <c r="D58" s="73"/>
      <c r="E58" s="73"/>
      <c r="F58" s="8" t="s">
        <v>108</v>
      </c>
      <c r="G58" s="8"/>
      <c r="H58" s="8"/>
      <c r="I58" s="1"/>
    </row>
    <row r="59" spans="2:9" ht="15.75" x14ac:dyDescent="0.25">
      <c r="B59" s="73" t="s">
        <v>107</v>
      </c>
      <c r="C59" s="73"/>
      <c r="D59" s="73"/>
      <c r="E59" s="73"/>
      <c r="F59" s="13" t="s">
        <v>148</v>
      </c>
      <c r="G59" s="8">
        <v>4</v>
      </c>
      <c r="H59" s="8">
        <f>+(2.4)*(0.8*0.3)*G59</f>
        <v>2.3039999999999998</v>
      </c>
      <c r="I59" s="1"/>
    </row>
    <row r="60" spans="2:9" ht="15.75" x14ac:dyDescent="0.25">
      <c r="B60" s="73"/>
      <c r="C60" s="73"/>
      <c r="D60" s="73"/>
      <c r="E60" s="73"/>
      <c r="F60" s="8" t="s">
        <v>108</v>
      </c>
      <c r="G60" s="8"/>
      <c r="H60" s="8"/>
      <c r="I60" s="1"/>
    </row>
    <row r="61" spans="2:9" ht="15.75" x14ac:dyDescent="0.25">
      <c r="B61" s="71"/>
      <c r="C61" s="72"/>
      <c r="D61" s="72"/>
      <c r="E61" s="72"/>
      <c r="F61" s="4" t="s">
        <v>7</v>
      </c>
      <c r="G61" s="4"/>
      <c r="H61" s="6"/>
      <c r="I61" s="6">
        <f>+SUM(H48:H60)</f>
        <v>24.191999999999993</v>
      </c>
    </row>
    <row r="62" spans="2:9" ht="15.75" x14ac:dyDescent="0.25">
      <c r="B62" s="14"/>
      <c r="C62" s="14"/>
      <c r="D62" s="14"/>
      <c r="E62" s="14"/>
      <c r="F62" s="9"/>
      <c r="G62" s="9"/>
      <c r="H62" s="9"/>
      <c r="I62" s="9"/>
    </row>
    <row r="63" spans="2:9" ht="15.75" x14ac:dyDescent="0.25">
      <c r="B63" s="3" t="s">
        <v>0</v>
      </c>
      <c r="C63" s="3" t="str">
        <f>+$B$2</f>
        <v>4.</v>
      </c>
      <c r="D63" s="4" t="str">
        <f>+$B$4</f>
        <v>4.</v>
      </c>
      <c r="E63" s="38">
        <v>8</v>
      </c>
      <c r="F63" s="76" t="s">
        <v>36</v>
      </c>
      <c r="G63" s="77"/>
      <c r="H63" s="1" t="s">
        <v>1</v>
      </c>
      <c r="I63" s="1" t="s">
        <v>53</v>
      </c>
    </row>
    <row r="64" spans="2:9" ht="15.75" x14ac:dyDescent="0.25">
      <c r="B64" s="73" t="s">
        <v>2</v>
      </c>
      <c r="C64" s="74"/>
      <c r="D64" s="74"/>
      <c r="E64" s="74"/>
      <c r="F64" s="1" t="s">
        <v>3</v>
      </c>
      <c r="G64" s="1" t="s">
        <v>4</v>
      </c>
      <c r="H64" s="1" t="s">
        <v>5</v>
      </c>
      <c r="I64" s="1" t="s">
        <v>6</v>
      </c>
    </row>
    <row r="65" spans="2:9" ht="15.75" x14ac:dyDescent="0.25">
      <c r="B65" s="73"/>
      <c r="C65" s="73"/>
      <c r="D65" s="73"/>
      <c r="E65" s="73"/>
      <c r="F65" s="44" t="s">
        <v>129</v>
      </c>
      <c r="G65" s="1"/>
      <c r="H65" s="1"/>
      <c r="I65" s="1"/>
    </row>
    <row r="66" spans="2:9" ht="15.75" x14ac:dyDescent="0.25">
      <c r="B66" s="73"/>
      <c r="C66" s="73"/>
      <c r="D66" s="73"/>
      <c r="E66" s="73"/>
      <c r="F66" s="1" t="s">
        <v>130</v>
      </c>
      <c r="G66" s="1"/>
      <c r="H66" s="1"/>
      <c r="I66" s="1"/>
    </row>
    <row r="67" spans="2:9" ht="15.75" x14ac:dyDescent="0.25">
      <c r="B67" s="73"/>
      <c r="C67" s="73"/>
      <c r="D67" s="73"/>
      <c r="E67" s="73"/>
      <c r="F67" s="8" t="s">
        <v>133</v>
      </c>
      <c r="G67" s="8"/>
      <c r="H67" s="8"/>
      <c r="I67" s="1"/>
    </row>
    <row r="68" spans="2:9" ht="15.75" x14ac:dyDescent="0.25">
      <c r="B68" s="73"/>
      <c r="C68" s="73"/>
      <c r="D68" s="73"/>
      <c r="E68" s="73"/>
      <c r="F68" s="8" t="s">
        <v>131</v>
      </c>
      <c r="G68" s="8"/>
      <c r="H68" s="8"/>
      <c r="I68" s="1"/>
    </row>
    <row r="69" spans="2:9" ht="15.75" x14ac:dyDescent="0.25">
      <c r="B69" s="73"/>
      <c r="C69" s="73"/>
      <c r="D69" s="73"/>
      <c r="E69" s="73"/>
      <c r="F69" s="8" t="s">
        <v>134</v>
      </c>
      <c r="G69" s="8"/>
      <c r="H69" s="8"/>
      <c r="I69" s="1"/>
    </row>
    <row r="70" spans="2:9" ht="15.75" x14ac:dyDescent="0.25">
      <c r="B70" s="73"/>
      <c r="C70" s="73"/>
      <c r="D70" s="73"/>
      <c r="E70" s="73"/>
      <c r="F70" s="8" t="s">
        <v>120</v>
      </c>
      <c r="G70" s="8"/>
      <c r="H70" s="8"/>
      <c r="I70" s="1"/>
    </row>
    <row r="71" spans="2:9" ht="15.75" x14ac:dyDescent="0.25">
      <c r="B71" s="73"/>
      <c r="C71" s="73"/>
      <c r="D71" s="73"/>
      <c r="E71" s="73"/>
      <c r="F71" s="8" t="s">
        <v>143</v>
      </c>
      <c r="G71" s="8"/>
      <c r="H71" s="8"/>
      <c r="I71" s="1"/>
    </row>
    <row r="72" spans="2:9" ht="15.75" x14ac:dyDescent="0.25">
      <c r="B72" s="73"/>
      <c r="C72" s="73"/>
      <c r="D72" s="73"/>
      <c r="E72" s="73"/>
      <c r="F72" s="8" t="s">
        <v>121</v>
      </c>
      <c r="G72" s="8"/>
      <c r="H72" s="8"/>
      <c r="I72" s="1"/>
    </row>
    <row r="73" spans="2:9" ht="15.75" x14ac:dyDescent="0.25">
      <c r="B73" s="73"/>
      <c r="C73" s="73"/>
      <c r="D73" s="73"/>
      <c r="E73" s="73"/>
      <c r="F73" s="8" t="s">
        <v>144</v>
      </c>
      <c r="G73" s="8"/>
      <c r="H73" s="8"/>
      <c r="I73" s="1"/>
    </row>
    <row r="74" spans="2:9" ht="30.75" x14ac:dyDescent="0.25">
      <c r="B74" s="73"/>
      <c r="C74" s="73"/>
      <c r="D74" s="73"/>
      <c r="E74" s="73"/>
      <c r="F74" s="7" t="s">
        <v>122</v>
      </c>
      <c r="G74" s="8"/>
      <c r="H74" s="8"/>
      <c r="I74" s="1"/>
    </row>
    <row r="75" spans="2:9" ht="15.75" x14ac:dyDescent="0.25">
      <c r="B75" s="73"/>
      <c r="C75" s="73"/>
      <c r="D75" s="73"/>
      <c r="E75" s="73"/>
      <c r="F75" s="7" t="s">
        <v>145</v>
      </c>
      <c r="G75" s="8"/>
      <c r="H75" s="8"/>
      <c r="I75" s="1"/>
    </row>
    <row r="76" spans="2:9" ht="30.75" x14ac:dyDescent="0.25">
      <c r="B76" s="73"/>
      <c r="C76" s="73"/>
      <c r="D76" s="73"/>
      <c r="E76" s="73"/>
      <c r="F76" s="7" t="s">
        <v>119</v>
      </c>
      <c r="G76" s="8"/>
      <c r="H76" s="8"/>
      <c r="I76" s="1"/>
    </row>
    <row r="77" spans="2:9" ht="15.75" x14ac:dyDescent="0.25">
      <c r="B77" s="73"/>
      <c r="C77" s="73"/>
      <c r="D77" s="73"/>
      <c r="E77" s="73"/>
      <c r="F77" s="7" t="s">
        <v>149</v>
      </c>
      <c r="G77" s="8">
        <v>1</v>
      </c>
      <c r="H77" s="8">
        <f>0.3878*3</f>
        <v>1.1634</v>
      </c>
      <c r="I77" s="1"/>
    </row>
    <row r="78" spans="2:9" ht="15.75" x14ac:dyDescent="0.25">
      <c r="B78" s="73"/>
      <c r="C78" s="73"/>
      <c r="D78" s="73"/>
      <c r="E78" s="73"/>
      <c r="F78" s="47" t="s">
        <v>173</v>
      </c>
      <c r="G78" s="8"/>
      <c r="H78" s="8"/>
      <c r="I78" s="1"/>
    </row>
    <row r="79" spans="2:9" ht="15.75" x14ac:dyDescent="0.25">
      <c r="B79" s="73"/>
      <c r="C79" s="73"/>
      <c r="D79" s="73"/>
      <c r="E79" s="73"/>
      <c r="F79" s="7" t="s">
        <v>132</v>
      </c>
      <c r="G79" s="8"/>
      <c r="H79" s="8"/>
      <c r="I79" s="1"/>
    </row>
    <row r="80" spans="2:9" ht="15.75" x14ac:dyDescent="0.25">
      <c r="B80" s="73"/>
      <c r="C80" s="73"/>
      <c r="D80" s="73"/>
      <c r="E80" s="73"/>
      <c r="F80" s="7" t="s">
        <v>134</v>
      </c>
      <c r="G80" s="8"/>
      <c r="H80" s="8"/>
      <c r="I80" s="1"/>
    </row>
    <row r="81" spans="2:9" ht="15.75" x14ac:dyDescent="0.25">
      <c r="B81" s="73"/>
      <c r="C81" s="73"/>
      <c r="D81" s="73"/>
      <c r="E81" s="73"/>
      <c r="F81" s="7" t="s">
        <v>136</v>
      </c>
      <c r="G81" s="8"/>
      <c r="H81" s="8"/>
      <c r="I81" s="1"/>
    </row>
    <row r="82" spans="2:9" ht="15.75" x14ac:dyDescent="0.25">
      <c r="B82" s="73"/>
      <c r="C82" s="73"/>
      <c r="D82" s="73"/>
      <c r="E82" s="73"/>
      <c r="F82" s="7" t="s">
        <v>135</v>
      </c>
      <c r="G82" s="8"/>
      <c r="H82" s="8"/>
      <c r="I82" s="1"/>
    </row>
    <row r="83" spans="2:9" ht="15.75" x14ac:dyDescent="0.25">
      <c r="B83" s="73"/>
      <c r="C83" s="73"/>
      <c r="D83" s="73"/>
      <c r="E83" s="73"/>
      <c r="F83" s="7" t="s">
        <v>137</v>
      </c>
      <c r="G83" s="8"/>
      <c r="H83" s="8"/>
      <c r="I83" s="1"/>
    </row>
    <row r="84" spans="2:9" ht="30.75" x14ac:dyDescent="0.25">
      <c r="B84" s="73"/>
      <c r="C84" s="73"/>
      <c r="D84" s="73"/>
      <c r="E84" s="73"/>
      <c r="F84" s="7" t="s">
        <v>119</v>
      </c>
      <c r="G84" s="8"/>
      <c r="H84" s="8"/>
      <c r="I84" s="1"/>
    </row>
    <row r="85" spans="2:9" ht="15.75" x14ac:dyDescent="0.25">
      <c r="B85" s="73"/>
      <c r="C85" s="73"/>
      <c r="D85" s="73"/>
      <c r="E85" s="73"/>
      <c r="F85" s="7" t="s">
        <v>150</v>
      </c>
      <c r="G85" s="8">
        <v>1</v>
      </c>
      <c r="H85" s="8">
        <f>0.5504*3</f>
        <v>1.6512</v>
      </c>
      <c r="I85" s="1"/>
    </row>
    <row r="86" spans="2:9" ht="15.75" x14ac:dyDescent="0.25">
      <c r="B86" s="73"/>
      <c r="C86" s="73"/>
      <c r="D86" s="73"/>
      <c r="E86" s="73"/>
      <c r="F86" s="39" t="s">
        <v>174</v>
      </c>
      <c r="G86" s="1"/>
      <c r="H86" s="1"/>
      <c r="I86" s="6"/>
    </row>
    <row r="87" spans="2:9" ht="15.75" x14ac:dyDescent="0.25">
      <c r="B87" s="73" t="s">
        <v>25</v>
      </c>
      <c r="C87" s="73"/>
      <c r="D87" s="73"/>
      <c r="E87" s="73"/>
      <c r="F87" s="2" t="s">
        <v>146</v>
      </c>
      <c r="G87" s="1">
        <v>1</v>
      </c>
      <c r="H87" s="1">
        <f>1.2*2.4</f>
        <v>2.88</v>
      </c>
      <c r="I87" s="6"/>
    </row>
    <row r="88" spans="2:9" ht="30.75" x14ac:dyDescent="0.25">
      <c r="B88" s="73"/>
      <c r="C88" s="73"/>
      <c r="D88" s="73"/>
      <c r="E88" s="73"/>
      <c r="F88" s="15" t="s">
        <v>147</v>
      </c>
      <c r="G88" s="8"/>
      <c r="H88" s="8"/>
      <c r="I88" s="6"/>
    </row>
    <row r="89" spans="2:9" ht="15.75" x14ac:dyDescent="0.25">
      <c r="B89" s="73" t="s">
        <v>80</v>
      </c>
      <c r="C89" s="73"/>
      <c r="D89" s="73"/>
      <c r="E89" s="73"/>
      <c r="F89" s="2" t="s">
        <v>146</v>
      </c>
      <c r="G89" s="1">
        <v>1</v>
      </c>
      <c r="H89" s="1">
        <f>1.2*2.4</f>
        <v>2.88</v>
      </c>
      <c r="I89" s="6"/>
    </row>
    <row r="90" spans="2:9" ht="30.75" x14ac:dyDescent="0.25">
      <c r="B90" s="73"/>
      <c r="C90" s="73"/>
      <c r="D90" s="73"/>
      <c r="E90" s="73"/>
      <c r="F90" s="15" t="s">
        <v>147</v>
      </c>
      <c r="G90" s="8"/>
      <c r="H90" s="8"/>
      <c r="I90" s="6"/>
    </row>
    <row r="91" spans="2:9" ht="15.75" x14ac:dyDescent="0.25">
      <c r="B91" s="73" t="s">
        <v>81</v>
      </c>
      <c r="C91" s="73"/>
      <c r="D91" s="73"/>
      <c r="E91" s="73"/>
      <c r="F91" s="2" t="s">
        <v>146</v>
      </c>
      <c r="G91" s="1">
        <v>1</v>
      </c>
      <c r="H91" s="1">
        <f>1.2*2.4</f>
        <v>2.88</v>
      </c>
      <c r="I91" s="6"/>
    </row>
    <row r="92" spans="2:9" ht="30.75" x14ac:dyDescent="0.25">
      <c r="B92" s="73"/>
      <c r="C92" s="73"/>
      <c r="D92" s="73"/>
      <c r="E92" s="73"/>
      <c r="F92" s="15" t="s">
        <v>147</v>
      </c>
      <c r="G92" s="8"/>
      <c r="H92" s="8"/>
      <c r="I92" s="6"/>
    </row>
    <row r="93" spans="2:9" ht="15.75" x14ac:dyDescent="0.25">
      <c r="B93" s="71"/>
      <c r="C93" s="72"/>
      <c r="D93" s="72"/>
      <c r="E93" s="72"/>
      <c r="F93" s="4" t="s">
        <v>7</v>
      </c>
      <c r="G93" s="4"/>
      <c r="H93" s="6"/>
      <c r="I93" s="6">
        <f>+SUM(H66:H92)</f>
        <v>11.454599999999999</v>
      </c>
    </row>
    <row r="94" spans="2:9" ht="15.75" x14ac:dyDescent="0.25">
      <c r="B94" s="14"/>
      <c r="C94" s="14"/>
      <c r="D94" s="14"/>
      <c r="E94" s="14"/>
      <c r="F94" s="9"/>
      <c r="G94" s="9"/>
      <c r="H94" s="9"/>
      <c r="I94" s="9"/>
    </row>
    <row r="95" spans="2:9" ht="15.75" x14ac:dyDescent="0.25">
      <c r="B95" s="3" t="s">
        <v>0</v>
      </c>
      <c r="C95" s="3" t="str">
        <f>+$B$2</f>
        <v>4.</v>
      </c>
      <c r="D95" s="4" t="str">
        <f>+$B$4</f>
        <v>4.</v>
      </c>
      <c r="E95" s="33">
        <v>17</v>
      </c>
      <c r="F95" s="76" t="s">
        <v>39</v>
      </c>
      <c r="G95" s="77"/>
      <c r="H95" s="1" t="s">
        <v>1</v>
      </c>
      <c r="I95" s="1" t="s">
        <v>50</v>
      </c>
    </row>
    <row r="96" spans="2:9" ht="15.75" x14ac:dyDescent="0.25">
      <c r="B96" s="73" t="s">
        <v>2</v>
      </c>
      <c r="C96" s="74"/>
      <c r="D96" s="74"/>
      <c r="E96" s="74"/>
      <c r="F96" s="1" t="s">
        <v>3</v>
      </c>
      <c r="G96" s="1" t="s">
        <v>4</v>
      </c>
      <c r="H96" s="1" t="s">
        <v>5</v>
      </c>
      <c r="I96" s="1" t="s">
        <v>6</v>
      </c>
    </row>
    <row r="97" spans="2:9" ht="30.75" x14ac:dyDescent="0.25">
      <c r="B97" s="73"/>
      <c r="C97" s="73"/>
      <c r="D97" s="73"/>
      <c r="E97" s="73"/>
      <c r="F97" s="2" t="s">
        <v>126</v>
      </c>
      <c r="G97" s="1"/>
      <c r="H97" s="1"/>
      <c r="I97" s="1"/>
    </row>
    <row r="98" spans="2:9" ht="15.75" x14ac:dyDescent="0.25">
      <c r="B98" s="75" t="s">
        <v>73</v>
      </c>
      <c r="C98" s="75"/>
      <c r="D98" s="75"/>
      <c r="E98" s="75"/>
      <c r="F98" s="45" t="s">
        <v>151</v>
      </c>
      <c r="G98" s="8">
        <f>1056.4*1.15</f>
        <v>1214.8599999999999</v>
      </c>
      <c r="H98" s="8"/>
      <c r="I98" s="1"/>
    </row>
    <row r="99" spans="2:9" ht="15.75" x14ac:dyDescent="0.25">
      <c r="B99" s="75"/>
      <c r="C99" s="75"/>
      <c r="D99" s="75"/>
      <c r="E99" s="75"/>
      <c r="F99" s="7" t="s">
        <v>141</v>
      </c>
      <c r="G99" s="8"/>
      <c r="H99" s="8"/>
      <c r="I99" s="1"/>
    </row>
    <row r="100" spans="2:9" ht="15.75" x14ac:dyDescent="0.25">
      <c r="B100" s="75"/>
      <c r="C100" s="75"/>
      <c r="D100" s="75"/>
      <c r="E100" s="75"/>
      <c r="F100" s="46" t="s">
        <v>123</v>
      </c>
      <c r="G100" s="8"/>
      <c r="H100" s="8"/>
      <c r="I100" s="1"/>
    </row>
    <row r="101" spans="2:9" ht="15.75" x14ac:dyDescent="0.25">
      <c r="B101" s="75"/>
      <c r="C101" s="75"/>
      <c r="D101" s="75"/>
      <c r="E101" s="75"/>
      <c r="F101" s="45" t="s">
        <v>124</v>
      </c>
      <c r="G101" s="8"/>
      <c r="H101" s="8"/>
      <c r="I101" s="1"/>
    </row>
    <row r="102" spans="2:9" ht="15.75" x14ac:dyDescent="0.25">
      <c r="B102" s="75"/>
      <c r="C102" s="75"/>
      <c r="D102" s="75"/>
      <c r="E102" s="75"/>
      <c r="F102" s="45" t="s">
        <v>125</v>
      </c>
      <c r="G102" s="8"/>
      <c r="H102" s="8"/>
      <c r="I102" s="1"/>
    </row>
    <row r="103" spans="2:9" ht="15.75" x14ac:dyDescent="0.25">
      <c r="B103" s="75"/>
      <c r="C103" s="75"/>
      <c r="D103" s="75"/>
      <c r="E103" s="75"/>
      <c r="F103" s="45" t="s">
        <v>127</v>
      </c>
      <c r="G103" s="8"/>
      <c r="H103" s="8"/>
      <c r="I103" s="1"/>
    </row>
    <row r="104" spans="2:9" ht="15.75" x14ac:dyDescent="0.25">
      <c r="B104" s="75"/>
      <c r="C104" s="75"/>
      <c r="D104" s="75"/>
      <c r="E104" s="75"/>
      <c r="F104" s="45" t="s">
        <v>128</v>
      </c>
      <c r="G104" s="8"/>
      <c r="H104" s="8"/>
      <c r="I104" s="1"/>
    </row>
    <row r="105" spans="2:9" ht="15.75" x14ac:dyDescent="0.25">
      <c r="B105" s="75"/>
      <c r="C105" s="75"/>
      <c r="D105" s="75"/>
      <c r="E105" s="75"/>
      <c r="F105" s="45" t="s">
        <v>152</v>
      </c>
      <c r="G105" s="8">
        <v>1</v>
      </c>
      <c r="H105" s="8">
        <f>3.52*1214.9</f>
        <v>4276.4480000000003</v>
      </c>
      <c r="I105" s="1"/>
    </row>
    <row r="106" spans="2:9" ht="15.75" x14ac:dyDescent="0.25">
      <c r="B106" s="71"/>
      <c r="C106" s="72"/>
      <c r="D106" s="72"/>
      <c r="E106" s="72"/>
      <c r="F106" s="4" t="s">
        <v>7</v>
      </c>
      <c r="G106" s="4"/>
      <c r="H106" s="6"/>
      <c r="I106" s="6">
        <f>+SUM(H104:H105)</f>
        <v>4276.4480000000003</v>
      </c>
    </row>
    <row r="107" spans="2:9" ht="15.75" x14ac:dyDescent="0.25">
      <c r="B107" s="14"/>
      <c r="C107" s="14"/>
      <c r="D107" s="14"/>
      <c r="E107" s="14"/>
      <c r="F107" s="9"/>
      <c r="G107" s="9"/>
      <c r="H107" s="9"/>
      <c r="I107" s="9"/>
    </row>
    <row r="108" spans="2:9" ht="15.75" x14ac:dyDescent="0.25">
      <c r="B108" s="3" t="s">
        <v>0</v>
      </c>
      <c r="C108" s="3" t="str">
        <f>+$B$2</f>
        <v>4.</v>
      </c>
      <c r="D108" s="4" t="str">
        <f>+$B$4</f>
        <v>4.</v>
      </c>
      <c r="E108" s="33">
        <v>20</v>
      </c>
      <c r="F108" s="76" t="s">
        <v>76</v>
      </c>
      <c r="G108" s="77"/>
      <c r="H108" s="1" t="s">
        <v>1</v>
      </c>
      <c r="I108" s="1" t="s">
        <v>53</v>
      </c>
    </row>
    <row r="109" spans="2:9" ht="15.75" x14ac:dyDescent="0.25">
      <c r="B109" s="73" t="s">
        <v>2</v>
      </c>
      <c r="C109" s="74"/>
      <c r="D109" s="74"/>
      <c r="E109" s="74"/>
      <c r="F109" s="1" t="s">
        <v>3</v>
      </c>
      <c r="G109" s="1" t="s">
        <v>4</v>
      </c>
      <c r="H109" s="1" t="s">
        <v>5</v>
      </c>
      <c r="I109" s="1" t="s">
        <v>6</v>
      </c>
    </row>
    <row r="110" spans="2:9" ht="15.75" x14ac:dyDescent="0.25">
      <c r="B110" s="73" t="s">
        <v>78</v>
      </c>
      <c r="C110" s="73"/>
      <c r="D110" s="73"/>
      <c r="E110" s="73"/>
      <c r="F110" s="1" t="s">
        <v>79</v>
      </c>
      <c r="G110" s="1">
        <v>2</v>
      </c>
      <c r="H110" s="1">
        <f>+(2*2+2.6)*0.3*2.4*G110</f>
        <v>9.5039999999999978</v>
      </c>
      <c r="I110" s="1"/>
    </row>
    <row r="111" spans="2:9" ht="15.75" x14ac:dyDescent="0.25">
      <c r="B111" s="73"/>
      <c r="C111" s="73"/>
      <c r="D111" s="73"/>
      <c r="E111" s="73"/>
      <c r="F111" s="2" t="s">
        <v>164</v>
      </c>
      <c r="G111" s="1"/>
      <c r="H111" s="1"/>
      <c r="I111" s="1"/>
    </row>
    <row r="112" spans="2:9" ht="15.75" x14ac:dyDescent="0.25">
      <c r="B112" s="71"/>
      <c r="C112" s="72"/>
      <c r="D112" s="72"/>
      <c r="E112" s="72"/>
      <c r="F112" s="4" t="s">
        <v>7</v>
      </c>
      <c r="G112" s="4"/>
      <c r="H112" s="6"/>
      <c r="I112" s="6">
        <f>+SUM(H110:H111)</f>
        <v>9.5039999999999978</v>
      </c>
    </row>
    <row r="113" spans="2:9" ht="15.75" x14ac:dyDescent="0.25">
      <c r="B113" s="14"/>
      <c r="C113" s="14"/>
      <c r="D113" s="14"/>
      <c r="E113" s="14"/>
      <c r="F113" s="9"/>
      <c r="G113" s="9"/>
      <c r="H113" s="9"/>
      <c r="I113" s="9"/>
    </row>
    <row r="114" spans="2:9" ht="15.75" x14ac:dyDescent="0.25">
      <c r="B114" s="11" t="s">
        <v>18</v>
      </c>
      <c r="C114" s="76" t="s">
        <v>20</v>
      </c>
      <c r="D114" s="78"/>
      <c r="E114" s="78"/>
      <c r="F114" s="78"/>
      <c r="G114" s="78"/>
      <c r="H114" s="78"/>
      <c r="I114" s="77"/>
    </row>
    <row r="115" spans="2:9" ht="15.75" x14ac:dyDescent="0.25">
      <c r="B115" s="14"/>
      <c r="C115" s="14"/>
      <c r="D115" s="14"/>
      <c r="E115" s="14"/>
      <c r="F115" s="9"/>
      <c r="G115" s="9"/>
      <c r="H115" s="9"/>
      <c r="I115" s="9"/>
    </row>
    <row r="116" spans="2:9" ht="15.75" x14ac:dyDescent="0.25">
      <c r="B116" s="3" t="s">
        <v>0</v>
      </c>
      <c r="C116" s="3" t="str">
        <f>+$B$2</f>
        <v>4.</v>
      </c>
      <c r="D116" s="4" t="str">
        <f>+B114</f>
        <v>5.</v>
      </c>
      <c r="E116" s="5">
        <v>6</v>
      </c>
      <c r="F116" s="76" t="s">
        <v>118</v>
      </c>
      <c r="G116" s="77"/>
      <c r="H116" s="1" t="s">
        <v>1</v>
      </c>
      <c r="I116" s="1" t="s">
        <v>54</v>
      </c>
    </row>
    <row r="117" spans="2:9" ht="15.75" x14ac:dyDescent="0.25">
      <c r="B117" s="73" t="s">
        <v>2</v>
      </c>
      <c r="C117" s="74"/>
      <c r="D117" s="74"/>
      <c r="E117" s="74"/>
      <c r="F117" s="1" t="s">
        <v>3</v>
      </c>
      <c r="G117" s="1" t="s">
        <v>4</v>
      </c>
      <c r="H117" s="1" t="s">
        <v>5</v>
      </c>
      <c r="I117" s="1" t="s">
        <v>6</v>
      </c>
    </row>
    <row r="118" spans="2:9" ht="30.75" x14ac:dyDescent="0.25">
      <c r="B118" s="73"/>
      <c r="C118" s="73"/>
      <c r="D118" s="73"/>
      <c r="E118" s="73"/>
      <c r="F118" s="2" t="s">
        <v>112</v>
      </c>
      <c r="G118" s="1">
        <v>1</v>
      </c>
      <c r="H118" s="1">
        <f>+I44</f>
        <v>1056.34095</v>
      </c>
      <c r="I118" s="1"/>
    </row>
    <row r="119" spans="2:9" ht="15.75" x14ac:dyDescent="0.25">
      <c r="B119" s="71"/>
      <c r="C119" s="72"/>
      <c r="D119" s="72"/>
      <c r="E119" s="72"/>
      <c r="F119" s="4" t="s">
        <v>7</v>
      </c>
      <c r="G119" s="4"/>
      <c r="H119" s="6"/>
      <c r="I119" s="6">
        <f>+SUM(H118:H118)</f>
        <v>1056.34095</v>
      </c>
    </row>
    <row r="120" spans="2:9" ht="15.75" x14ac:dyDescent="0.25">
      <c r="B120" s="14"/>
      <c r="C120" s="14"/>
      <c r="D120" s="14"/>
      <c r="E120" s="14"/>
      <c r="F120" s="9"/>
      <c r="G120" s="9"/>
      <c r="H120" s="9"/>
      <c r="I120" s="9"/>
    </row>
    <row r="121" spans="2:9" ht="15" customHeight="1" x14ac:dyDescent="0.25">
      <c r="B121" s="3" t="s">
        <v>0</v>
      </c>
      <c r="C121" s="3" t="str">
        <f>+$B$2</f>
        <v>4.</v>
      </c>
      <c r="D121" s="4" t="str">
        <f>+B114</f>
        <v>5.</v>
      </c>
      <c r="E121" s="33">
        <v>16</v>
      </c>
      <c r="F121" s="76" t="s">
        <v>38</v>
      </c>
      <c r="G121" s="77"/>
      <c r="H121" s="1" t="s">
        <v>1</v>
      </c>
      <c r="I121" s="1" t="s">
        <v>50</v>
      </c>
    </row>
    <row r="122" spans="2:9" ht="15" customHeight="1" x14ac:dyDescent="0.25">
      <c r="B122" s="73" t="s">
        <v>2</v>
      </c>
      <c r="C122" s="74"/>
      <c r="D122" s="74"/>
      <c r="E122" s="74"/>
      <c r="F122" s="1" t="s">
        <v>3</v>
      </c>
      <c r="G122" s="1" t="s">
        <v>4</v>
      </c>
      <c r="H122" s="1" t="s">
        <v>5</v>
      </c>
      <c r="I122" s="1" t="s">
        <v>6</v>
      </c>
    </row>
    <row r="123" spans="2:9" ht="15" customHeight="1" x14ac:dyDescent="0.25">
      <c r="B123" s="73"/>
      <c r="C123" s="73"/>
      <c r="D123" s="73"/>
      <c r="E123" s="73"/>
      <c r="F123" s="1" t="s">
        <v>109</v>
      </c>
      <c r="G123" s="1"/>
      <c r="H123" s="1"/>
      <c r="I123" s="1"/>
    </row>
    <row r="124" spans="2:9" ht="15" customHeight="1" x14ac:dyDescent="0.25">
      <c r="B124" s="73"/>
      <c r="C124" s="73"/>
      <c r="D124" s="73"/>
      <c r="E124" s="73"/>
      <c r="F124" s="44" t="s">
        <v>138</v>
      </c>
      <c r="G124" s="1"/>
      <c r="H124" s="1"/>
      <c r="I124" s="1"/>
    </row>
    <row r="125" spans="2:9" ht="15" customHeight="1" x14ac:dyDescent="0.25">
      <c r="B125" s="73"/>
      <c r="C125" s="73"/>
      <c r="D125" s="73"/>
      <c r="E125" s="73"/>
      <c r="F125" s="1" t="s">
        <v>117</v>
      </c>
      <c r="G125" s="1"/>
      <c r="H125" s="1"/>
      <c r="I125" s="1"/>
    </row>
    <row r="126" spans="2:9" ht="15" customHeight="1" x14ac:dyDescent="0.25">
      <c r="B126" s="73"/>
      <c r="C126" s="73"/>
      <c r="D126" s="73"/>
      <c r="E126" s="73"/>
      <c r="F126" s="44" t="s">
        <v>139</v>
      </c>
      <c r="G126" s="1"/>
      <c r="H126" s="1"/>
      <c r="I126" s="1"/>
    </row>
    <row r="127" spans="2:9" ht="15" hidden="1" customHeight="1" x14ac:dyDescent="0.25">
      <c r="B127" s="73"/>
      <c r="C127" s="73"/>
      <c r="D127" s="73"/>
      <c r="E127" s="73"/>
      <c r="F127" s="44" t="s">
        <v>140</v>
      </c>
      <c r="G127" s="1"/>
      <c r="H127" s="1"/>
      <c r="I127" s="1"/>
    </row>
    <row r="128" spans="2:9" ht="15" customHeight="1" x14ac:dyDescent="0.25">
      <c r="B128" s="73"/>
      <c r="C128" s="73"/>
      <c r="D128" s="73"/>
      <c r="E128" s="73"/>
      <c r="F128" s="8" t="s">
        <v>175</v>
      </c>
      <c r="G128" s="1"/>
      <c r="H128" s="1"/>
      <c r="I128" s="1"/>
    </row>
    <row r="129" spans="2:9" ht="15" customHeight="1" x14ac:dyDescent="0.25">
      <c r="B129" s="73"/>
      <c r="C129" s="73"/>
      <c r="D129" s="73"/>
      <c r="E129" s="73"/>
      <c r="F129" s="8" t="s">
        <v>176</v>
      </c>
      <c r="G129" s="1">
        <v>1</v>
      </c>
      <c r="H129" s="1">
        <f>+(7394.4+1056.34)*0.12*120</f>
        <v>121690.656</v>
      </c>
      <c r="I129" s="1"/>
    </row>
    <row r="130" spans="2:9" ht="15" customHeight="1" x14ac:dyDescent="0.25">
      <c r="B130" s="71"/>
      <c r="C130" s="72"/>
      <c r="D130" s="72"/>
      <c r="E130" s="72"/>
      <c r="F130" s="4" t="s">
        <v>7</v>
      </c>
      <c r="G130" s="4"/>
      <c r="H130" s="6"/>
      <c r="I130" s="6">
        <f>+H129</f>
        <v>121690.656</v>
      </c>
    </row>
    <row r="131" spans="2:9" ht="15" customHeight="1" x14ac:dyDescent="0.25">
      <c r="B131" s="14"/>
      <c r="C131" s="14"/>
      <c r="D131" s="14"/>
      <c r="E131" s="14"/>
      <c r="F131" s="9"/>
      <c r="G131" s="9"/>
      <c r="H131" s="9"/>
      <c r="I131" s="9"/>
    </row>
    <row r="132" spans="2:9" ht="15.75" x14ac:dyDescent="0.25">
      <c r="B132" s="11" t="s">
        <v>33</v>
      </c>
      <c r="C132" s="76" t="s">
        <v>95</v>
      </c>
      <c r="D132" s="78"/>
      <c r="E132" s="78"/>
      <c r="F132" s="78"/>
      <c r="G132" s="78"/>
      <c r="H132" s="78"/>
      <c r="I132" s="77"/>
    </row>
    <row r="134" spans="2:9" ht="15.75" x14ac:dyDescent="0.25">
      <c r="B134" s="3" t="s">
        <v>0</v>
      </c>
      <c r="C134" s="3" t="str">
        <f>+$B$2</f>
        <v>4.</v>
      </c>
      <c r="D134" s="4" t="str">
        <f>+B132</f>
        <v>7.</v>
      </c>
      <c r="E134" s="34">
        <v>9</v>
      </c>
      <c r="F134" s="76" t="s">
        <v>172</v>
      </c>
      <c r="G134" s="77"/>
      <c r="H134" s="1" t="s">
        <v>1</v>
      </c>
      <c r="I134" s="1" t="s">
        <v>54</v>
      </c>
    </row>
    <row r="135" spans="2:9" ht="15.75" x14ac:dyDescent="0.25">
      <c r="B135" s="73" t="s">
        <v>2</v>
      </c>
      <c r="C135" s="74"/>
      <c r="D135" s="74"/>
      <c r="E135" s="74"/>
      <c r="F135" s="1" t="s">
        <v>3</v>
      </c>
      <c r="G135" s="1" t="s">
        <v>4</v>
      </c>
      <c r="H135" s="1" t="s">
        <v>5</v>
      </c>
      <c r="I135" s="1" t="s">
        <v>6</v>
      </c>
    </row>
    <row r="136" spans="2:9" ht="15.75" x14ac:dyDescent="0.25">
      <c r="B136" s="73" t="s">
        <v>84</v>
      </c>
      <c r="C136" s="73"/>
      <c r="D136" s="73"/>
      <c r="E136" s="73"/>
      <c r="F136" s="1" t="s">
        <v>86</v>
      </c>
      <c r="G136" s="1">
        <v>1</v>
      </c>
      <c r="H136" s="1">
        <f>23.64*29.83+31.82*0.68/2+23.41*1.99/2</f>
        <v>739.29295000000002</v>
      </c>
      <c r="I136" s="1"/>
    </row>
    <row r="137" spans="2:9" ht="15.75" x14ac:dyDescent="0.25">
      <c r="B137" s="73"/>
      <c r="C137" s="73"/>
      <c r="D137" s="73"/>
      <c r="E137" s="73"/>
      <c r="F137" s="1" t="s">
        <v>26</v>
      </c>
      <c r="G137" s="1"/>
      <c r="H137" s="1"/>
      <c r="I137" s="1"/>
    </row>
    <row r="138" spans="2:9" ht="15.75" x14ac:dyDescent="0.25">
      <c r="B138" s="73" t="s">
        <v>85</v>
      </c>
      <c r="C138" s="73"/>
      <c r="D138" s="73"/>
      <c r="E138" s="73"/>
      <c r="F138" s="8" t="s">
        <v>87</v>
      </c>
      <c r="G138" s="8">
        <v>1</v>
      </c>
      <c r="H138" s="8">
        <f>23.63*32+0.55*32/2+23.41*0.56/2</f>
        <v>771.51479999999992</v>
      </c>
      <c r="I138" s="1"/>
    </row>
    <row r="139" spans="2:9" ht="15.75" x14ac:dyDescent="0.25">
      <c r="B139" s="75"/>
      <c r="C139" s="75"/>
      <c r="D139" s="75"/>
      <c r="E139" s="75"/>
      <c r="F139" s="8" t="s">
        <v>29</v>
      </c>
      <c r="G139" s="8"/>
      <c r="H139" s="8"/>
      <c r="I139" s="1"/>
    </row>
    <row r="140" spans="2:9" ht="15.75" x14ac:dyDescent="0.25">
      <c r="B140" s="75" t="s">
        <v>88</v>
      </c>
      <c r="C140" s="75"/>
      <c r="D140" s="75"/>
      <c r="E140" s="75"/>
      <c r="F140" s="8" t="s">
        <v>89</v>
      </c>
      <c r="G140" s="8">
        <v>2</v>
      </c>
      <c r="H140" s="8">
        <f>-29.83*0.21</f>
        <v>-6.2642999999999995</v>
      </c>
      <c r="I140" s="1"/>
    </row>
    <row r="141" spans="2:9" ht="33" customHeight="1" x14ac:dyDescent="0.25">
      <c r="B141" s="75"/>
      <c r="C141" s="75"/>
      <c r="D141" s="75"/>
      <c r="E141" s="75"/>
      <c r="F141" s="7" t="s">
        <v>92</v>
      </c>
      <c r="G141" s="8"/>
      <c r="H141" s="8"/>
      <c r="I141" s="1"/>
    </row>
    <row r="142" spans="2:9" ht="15.75" x14ac:dyDescent="0.25">
      <c r="B142" s="71"/>
      <c r="C142" s="72"/>
      <c r="D142" s="72"/>
      <c r="E142" s="72"/>
      <c r="F142" s="4" t="s">
        <v>7</v>
      </c>
      <c r="G142" s="4"/>
      <c r="H142" s="6"/>
      <c r="I142" s="6">
        <f>+SUM(H136:H141)</f>
        <v>1504.5434499999999</v>
      </c>
    </row>
    <row r="144" spans="2:9" ht="15.75" x14ac:dyDescent="0.25">
      <c r="B144" s="3" t="s">
        <v>0</v>
      </c>
      <c r="C144" s="3" t="str">
        <f>+$B$2</f>
        <v>4.</v>
      </c>
      <c r="D144" s="4" t="str">
        <f>+B132</f>
        <v>7.</v>
      </c>
      <c r="E144" s="43">
        <v>18</v>
      </c>
      <c r="F144" s="76" t="s">
        <v>110</v>
      </c>
      <c r="G144" s="77"/>
      <c r="H144" s="1" t="s">
        <v>1</v>
      </c>
      <c r="I144" s="1" t="s">
        <v>77</v>
      </c>
    </row>
    <row r="145" spans="2:9" ht="15.75" x14ac:dyDescent="0.25">
      <c r="B145" s="73" t="s">
        <v>2</v>
      </c>
      <c r="C145" s="74"/>
      <c r="D145" s="74"/>
      <c r="E145" s="74"/>
      <c r="F145" s="1" t="s">
        <v>3</v>
      </c>
      <c r="G145" s="1" t="s">
        <v>4</v>
      </c>
      <c r="H145" s="1" t="s">
        <v>5</v>
      </c>
      <c r="I145" s="1" t="s">
        <v>6</v>
      </c>
    </row>
    <row r="146" spans="2:9" ht="15.75" x14ac:dyDescent="0.25">
      <c r="B146" s="73" t="s">
        <v>70</v>
      </c>
      <c r="C146" s="73"/>
      <c r="D146" s="73"/>
      <c r="E146" s="73"/>
      <c r="F146" s="11" t="s">
        <v>72</v>
      </c>
      <c r="G146" s="1">
        <v>1</v>
      </c>
      <c r="H146" s="1">
        <v>16.850000000000001</v>
      </c>
      <c r="I146" s="1"/>
    </row>
    <row r="147" spans="2:9" ht="15.75" x14ac:dyDescent="0.25">
      <c r="B147" s="73"/>
      <c r="C147" s="73"/>
      <c r="D147" s="73"/>
      <c r="E147" s="73"/>
      <c r="F147" s="1" t="s">
        <v>142</v>
      </c>
      <c r="G147" s="1"/>
      <c r="H147" s="1"/>
      <c r="I147" s="1"/>
    </row>
    <row r="148" spans="2:9" ht="15.75" x14ac:dyDescent="0.25">
      <c r="B148" s="71"/>
      <c r="C148" s="72"/>
      <c r="D148" s="72"/>
      <c r="E148" s="72"/>
      <c r="F148" s="4" t="s">
        <v>7</v>
      </c>
      <c r="G148" s="4"/>
      <c r="H148" s="6"/>
      <c r="I148" s="6">
        <f>+SUM(H146:H147)</f>
        <v>16.850000000000001</v>
      </c>
    </row>
    <row r="150" spans="2:9" ht="15.75" x14ac:dyDescent="0.25">
      <c r="B150" s="11" t="s">
        <v>14</v>
      </c>
      <c r="C150" s="76" t="s">
        <v>100</v>
      </c>
      <c r="D150" s="78"/>
      <c r="E150" s="78"/>
      <c r="F150" s="78"/>
      <c r="G150" s="78"/>
      <c r="H150" s="78"/>
      <c r="I150" s="77"/>
    </row>
    <row r="152" spans="2:9" ht="15.75" x14ac:dyDescent="0.25">
      <c r="B152" s="3" t="s">
        <v>0</v>
      </c>
      <c r="C152" s="3" t="str">
        <f>+$B$2</f>
        <v>4.</v>
      </c>
      <c r="D152" s="4" t="str">
        <f>+B150</f>
        <v>8.</v>
      </c>
      <c r="E152" s="41">
        <v>9</v>
      </c>
      <c r="F152" s="76" t="s">
        <v>172</v>
      </c>
      <c r="G152" s="77"/>
      <c r="H152" s="1" t="s">
        <v>1</v>
      </c>
      <c r="I152" s="1" t="s">
        <v>54</v>
      </c>
    </row>
    <row r="153" spans="2:9" ht="15.75" x14ac:dyDescent="0.25">
      <c r="B153" s="73" t="s">
        <v>2</v>
      </c>
      <c r="C153" s="74"/>
      <c r="D153" s="74"/>
      <c r="E153" s="74"/>
      <c r="F153" s="1" t="s">
        <v>3</v>
      </c>
      <c r="G153" s="1" t="s">
        <v>4</v>
      </c>
      <c r="H153" s="1" t="s">
        <v>5</v>
      </c>
      <c r="I153" s="1" t="s">
        <v>6</v>
      </c>
    </row>
    <row r="154" spans="2:9" ht="15.75" x14ac:dyDescent="0.25">
      <c r="B154" s="73" t="s">
        <v>84</v>
      </c>
      <c r="C154" s="73"/>
      <c r="D154" s="73"/>
      <c r="E154" s="73"/>
      <c r="F154" s="1" t="s">
        <v>86</v>
      </c>
      <c r="G154" s="1">
        <v>1</v>
      </c>
      <c r="H154" s="1">
        <f>23.64*29.83+31.82*0.68/2+23.41*1.99/2</f>
        <v>739.29295000000002</v>
      </c>
      <c r="I154" s="1"/>
    </row>
    <row r="155" spans="2:9" ht="15.75" x14ac:dyDescent="0.25">
      <c r="B155" s="73"/>
      <c r="C155" s="73"/>
      <c r="D155" s="73"/>
      <c r="E155" s="73"/>
      <c r="F155" s="1" t="s">
        <v>26</v>
      </c>
      <c r="G155" s="1"/>
      <c r="H155" s="1"/>
      <c r="I155" s="1"/>
    </row>
    <row r="156" spans="2:9" ht="15.75" x14ac:dyDescent="0.25">
      <c r="B156" s="73" t="s">
        <v>85</v>
      </c>
      <c r="C156" s="73"/>
      <c r="D156" s="73"/>
      <c r="E156" s="73"/>
      <c r="F156" s="8" t="s">
        <v>87</v>
      </c>
      <c r="G156" s="8">
        <v>1</v>
      </c>
      <c r="H156" s="8">
        <f>23.63*32+0.55*32/2+23.41*0.56/2</f>
        <v>771.51479999999992</v>
      </c>
      <c r="I156" s="1"/>
    </row>
    <row r="157" spans="2:9" ht="15.75" x14ac:dyDescent="0.25">
      <c r="B157" s="75"/>
      <c r="C157" s="75"/>
      <c r="D157" s="75"/>
      <c r="E157" s="75"/>
      <c r="F157" s="8" t="s">
        <v>29</v>
      </c>
      <c r="G157" s="8"/>
      <c r="H157" s="8"/>
      <c r="I157" s="1"/>
    </row>
    <row r="158" spans="2:9" ht="15.75" x14ac:dyDescent="0.25">
      <c r="B158" s="75" t="s">
        <v>88</v>
      </c>
      <c r="C158" s="75"/>
      <c r="D158" s="75"/>
      <c r="E158" s="75"/>
      <c r="F158" s="8" t="s">
        <v>89</v>
      </c>
      <c r="G158" s="8">
        <v>2</v>
      </c>
      <c r="H158" s="8">
        <f>-29.83*0.21</f>
        <v>-6.2642999999999995</v>
      </c>
      <c r="I158" s="1"/>
    </row>
    <row r="159" spans="2:9" ht="45.75" x14ac:dyDescent="0.25">
      <c r="B159" s="75"/>
      <c r="C159" s="75"/>
      <c r="D159" s="75"/>
      <c r="E159" s="75"/>
      <c r="F159" s="7" t="s">
        <v>92</v>
      </c>
      <c r="G159" s="8"/>
      <c r="H159" s="8"/>
      <c r="I159" s="1"/>
    </row>
    <row r="160" spans="2:9" ht="15.75" x14ac:dyDescent="0.25">
      <c r="B160" s="71"/>
      <c r="C160" s="72"/>
      <c r="D160" s="72"/>
      <c r="E160" s="72"/>
      <c r="F160" s="4" t="s">
        <v>7</v>
      </c>
      <c r="G160" s="4"/>
      <c r="H160" s="6"/>
      <c r="I160" s="6">
        <f>+SUM(H154:H159)</f>
        <v>1504.5434499999999</v>
      </c>
    </row>
    <row r="162" spans="2:9" ht="15.75" x14ac:dyDescent="0.25">
      <c r="B162" s="3" t="s">
        <v>0</v>
      </c>
      <c r="C162" s="3" t="str">
        <f>+$B$2</f>
        <v>4.</v>
      </c>
      <c r="D162" s="4" t="str">
        <f>+B150</f>
        <v>8.</v>
      </c>
      <c r="E162" s="33">
        <v>18</v>
      </c>
      <c r="F162" s="76" t="s">
        <v>110</v>
      </c>
      <c r="G162" s="77"/>
      <c r="H162" s="1" t="s">
        <v>1</v>
      </c>
      <c r="I162" s="1" t="s">
        <v>77</v>
      </c>
    </row>
    <row r="163" spans="2:9" ht="15.75" x14ac:dyDescent="0.25">
      <c r="B163" s="73" t="s">
        <v>2</v>
      </c>
      <c r="C163" s="74"/>
      <c r="D163" s="74"/>
      <c r="E163" s="74"/>
      <c r="F163" s="1" t="s">
        <v>3</v>
      </c>
      <c r="G163" s="1" t="s">
        <v>4</v>
      </c>
      <c r="H163" s="1" t="s">
        <v>5</v>
      </c>
      <c r="I163" s="1" t="s">
        <v>6</v>
      </c>
    </row>
    <row r="164" spans="2:9" ht="15.75" x14ac:dyDescent="0.25">
      <c r="B164" s="73" t="s">
        <v>70</v>
      </c>
      <c r="C164" s="73"/>
      <c r="D164" s="73"/>
      <c r="E164" s="73"/>
      <c r="F164" s="1" t="s">
        <v>71</v>
      </c>
      <c r="G164" s="1">
        <v>1</v>
      </c>
      <c r="H164" s="1">
        <f>10.13+3.5*PI()/2</f>
        <v>15.62778714378214</v>
      </c>
      <c r="I164" s="1"/>
    </row>
    <row r="165" spans="2:9" ht="15.75" x14ac:dyDescent="0.25">
      <c r="B165" s="73"/>
      <c r="C165" s="73"/>
      <c r="D165" s="73"/>
      <c r="E165" s="73"/>
      <c r="F165" s="1" t="s">
        <v>142</v>
      </c>
      <c r="G165" s="1"/>
      <c r="H165" s="1"/>
      <c r="I165" s="1"/>
    </row>
    <row r="166" spans="2:9" ht="15.75" x14ac:dyDescent="0.25">
      <c r="B166" s="71"/>
      <c r="C166" s="72"/>
      <c r="D166" s="72"/>
      <c r="E166" s="72"/>
      <c r="F166" s="4" t="s">
        <v>7</v>
      </c>
      <c r="G166" s="4"/>
      <c r="H166" s="6"/>
      <c r="I166" s="6">
        <f>+SUM(H164:H165)</f>
        <v>15.62778714378214</v>
      </c>
    </row>
    <row r="168" spans="2:9" ht="15.75" x14ac:dyDescent="0.25">
      <c r="B168" s="11" t="s">
        <v>42</v>
      </c>
      <c r="C168" s="76" t="s">
        <v>101</v>
      </c>
      <c r="D168" s="78"/>
      <c r="E168" s="78"/>
      <c r="F168" s="78"/>
      <c r="G168" s="78"/>
      <c r="H168" s="78"/>
      <c r="I168" s="77"/>
    </row>
    <row r="170" spans="2:9" ht="15.75" x14ac:dyDescent="0.25">
      <c r="B170" s="3" t="s">
        <v>0</v>
      </c>
      <c r="C170" s="3" t="str">
        <f>+$B$2</f>
        <v>4.</v>
      </c>
      <c r="D170" s="4" t="str">
        <f>+B168</f>
        <v>13.</v>
      </c>
      <c r="E170" s="41">
        <v>21</v>
      </c>
      <c r="F170" s="76" t="s">
        <v>102</v>
      </c>
      <c r="G170" s="77"/>
      <c r="H170" s="1" t="s">
        <v>1</v>
      </c>
      <c r="I170" s="1" t="s">
        <v>53</v>
      </c>
    </row>
    <row r="171" spans="2:9" ht="15.75" x14ac:dyDescent="0.25">
      <c r="B171" s="73" t="s">
        <v>2</v>
      </c>
      <c r="C171" s="74"/>
      <c r="D171" s="74"/>
      <c r="E171" s="74"/>
      <c r="F171" s="1" t="s">
        <v>3</v>
      </c>
      <c r="G171" s="1" t="s">
        <v>4</v>
      </c>
      <c r="H171" s="1" t="s">
        <v>5</v>
      </c>
      <c r="I171" s="1" t="s">
        <v>6</v>
      </c>
    </row>
    <row r="172" spans="2:9" ht="15.75" x14ac:dyDescent="0.25">
      <c r="B172" s="73"/>
      <c r="C172" s="73"/>
      <c r="D172" s="73"/>
      <c r="E172" s="73"/>
      <c r="F172" s="1" t="s">
        <v>153</v>
      </c>
      <c r="G172" s="1"/>
      <c r="H172" s="1"/>
      <c r="I172" s="1"/>
    </row>
    <row r="173" spans="2:9" ht="154.5" customHeight="1" x14ac:dyDescent="0.25">
      <c r="B173" s="73"/>
      <c r="C173" s="73"/>
      <c r="D173" s="73"/>
      <c r="E173" s="73"/>
      <c r="F173" s="1"/>
      <c r="G173" s="1"/>
      <c r="H173" s="1"/>
      <c r="I173" s="1"/>
    </row>
    <row r="174" spans="2:9" ht="15.75" x14ac:dyDescent="0.25">
      <c r="B174" s="73"/>
      <c r="C174" s="73"/>
      <c r="D174" s="73"/>
      <c r="E174" s="73"/>
      <c r="F174" s="8" t="s">
        <v>154</v>
      </c>
      <c r="G174" s="8"/>
      <c r="H174" s="8"/>
      <c r="I174" s="1"/>
    </row>
    <row r="175" spans="2:9" ht="15.75" x14ac:dyDescent="0.25">
      <c r="B175" s="75" t="s">
        <v>155</v>
      </c>
      <c r="C175" s="75"/>
      <c r="D175" s="75"/>
      <c r="E175" s="75"/>
      <c r="F175" s="8" t="s">
        <v>166</v>
      </c>
      <c r="G175" s="8">
        <v>2</v>
      </c>
      <c r="H175" s="8">
        <f>+(2.5+0.25)*6*0.25*1.05*2</f>
        <v>8.6624999999999996</v>
      </c>
      <c r="I175" s="1"/>
    </row>
    <row r="176" spans="2:9" ht="15.75" x14ac:dyDescent="0.25">
      <c r="B176" s="75"/>
      <c r="C176" s="75"/>
      <c r="D176" s="75"/>
      <c r="E176" s="75"/>
      <c r="F176" s="8" t="s">
        <v>156</v>
      </c>
      <c r="G176" s="8"/>
      <c r="H176" s="8"/>
      <c r="I176" s="1"/>
    </row>
    <row r="177" spans="2:9" ht="15.75" x14ac:dyDescent="0.25">
      <c r="B177" s="75" t="s">
        <v>155</v>
      </c>
      <c r="C177" s="75"/>
      <c r="D177" s="75"/>
      <c r="E177" s="75"/>
      <c r="F177" s="8" t="s">
        <v>167</v>
      </c>
      <c r="G177" s="8">
        <v>2</v>
      </c>
      <c r="H177" s="8">
        <f>+(2.5+0.25)*5*0.25*1.05*2</f>
        <v>7.21875</v>
      </c>
      <c r="I177" s="1"/>
    </row>
    <row r="178" spans="2:9" ht="15.75" x14ac:dyDescent="0.25">
      <c r="B178" s="75"/>
      <c r="C178" s="75"/>
      <c r="D178" s="75"/>
      <c r="E178" s="75"/>
      <c r="F178" s="8" t="s">
        <v>157</v>
      </c>
      <c r="G178" s="8"/>
      <c r="H178" s="8"/>
      <c r="I178" s="1"/>
    </row>
    <row r="179" spans="2:9" ht="15.75" x14ac:dyDescent="0.25">
      <c r="B179" s="75" t="s">
        <v>158</v>
      </c>
      <c r="C179" s="75"/>
      <c r="D179" s="75"/>
      <c r="E179" s="75"/>
      <c r="F179" s="8" t="s">
        <v>168</v>
      </c>
      <c r="G179" s="8">
        <v>1</v>
      </c>
      <c r="H179" s="8">
        <f>6*5*0.25*1.05</f>
        <v>7.875</v>
      </c>
      <c r="I179" s="1"/>
    </row>
    <row r="180" spans="2:9" ht="15.75" x14ac:dyDescent="0.25">
      <c r="B180" s="75" t="s">
        <v>159</v>
      </c>
      <c r="C180" s="75"/>
      <c r="D180" s="75"/>
      <c r="E180" s="75"/>
      <c r="F180" s="8" t="s">
        <v>169</v>
      </c>
      <c r="G180" s="8">
        <v>1</v>
      </c>
      <c r="H180" s="8">
        <f>6*5*0.2*1.05</f>
        <v>6.3000000000000007</v>
      </c>
      <c r="I180" s="1"/>
    </row>
    <row r="181" spans="2:9" ht="45.75" x14ac:dyDescent="0.25">
      <c r="B181" s="75"/>
      <c r="C181" s="75"/>
      <c r="D181" s="75"/>
      <c r="E181" s="75"/>
      <c r="F181" s="7" t="s">
        <v>165</v>
      </c>
      <c r="G181" s="8"/>
      <c r="H181" s="8"/>
      <c r="I181" s="1"/>
    </row>
    <row r="182" spans="2:9" ht="15.75" x14ac:dyDescent="0.25">
      <c r="B182" s="71"/>
      <c r="C182" s="72"/>
      <c r="D182" s="72"/>
      <c r="E182" s="72"/>
      <c r="F182" s="4" t="s">
        <v>7</v>
      </c>
      <c r="G182" s="4"/>
      <c r="H182" s="6"/>
      <c r="I182" s="6">
        <f>+SUM(H172:H180)</f>
        <v>30.056250000000002</v>
      </c>
    </row>
    <row r="184" spans="2:9" ht="15.75" x14ac:dyDescent="0.25">
      <c r="B184" s="3" t="s">
        <v>0</v>
      </c>
      <c r="C184" s="3" t="str">
        <f>+$B$2</f>
        <v>4.</v>
      </c>
      <c r="D184" s="4" t="str">
        <f>+B168</f>
        <v>13.</v>
      </c>
      <c r="E184" s="41">
        <v>22</v>
      </c>
      <c r="F184" s="76" t="s">
        <v>103</v>
      </c>
      <c r="G184" s="77"/>
      <c r="H184" s="1" t="s">
        <v>1</v>
      </c>
      <c r="I184" s="1" t="s">
        <v>50</v>
      </c>
    </row>
    <row r="185" spans="2:9" ht="15.75" x14ac:dyDescent="0.25">
      <c r="B185" s="73" t="s">
        <v>2</v>
      </c>
      <c r="C185" s="74"/>
      <c r="D185" s="74"/>
      <c r="E185" s="74"/>
      <c r="F185" s="1" t="s">
        <v>3</v>
      </c>
      <c r="G185" s="1" t="s">
        <v>4</v>
      </c>
      <c r="H185" s="1" t="s">
        <v>5</v>
      </c>
      <c r="I185" s="1" t="s">
        <v>6</v>
      </c>
    </row>
    <row r="186" spans="2:9" ht="15.75" x14ac:dyDescent="0.25">
      <c r="B186" s="73"/>
      <c r="C186" s="73"/>
      <c r="D186" s="73"/>
      <c r="E186" s="73"/>
      <c r="F186" s="1" t="s">
        <v>160</v>
      </c>
      <c r="G186" s="1"/>
      <c r="H186" s="1"/>
      <c r="I186" s="1"/>
    </row>
    <row r="187" spans="2:9" ht="15.75" x14ac:dyDescent="0.25">
      <c r="B187" s="73"/>
      <c r="C187" s="73"/>
      <c r="D187" s="73"/>
      <c r="E187" s="73"/>
      <c r="F187" s="1" t="s">
        <v>170</v>
      </c>
      <c r="G187" s="1"/>
      <c r="H187" s="1"/>
      <c r="I187" s="1"/>
    </row>
    <row r="188" spans="2:9" ht="15.75" x14ac:dyDescent="0.25">
      <c r="B188" s="73" t="s">
        <v>161</v>
      </c>
      <c r="C188" s="73"/>
      <c r="D188" s="73"/>
      <c r="E188" s="73"/>
      <c r="F188" s="1" t="s">
        <v>171</v>
      </c>
      <c r="G188" s="1">
        <v>1</v>
      </c>
      <c r="H188" s="1">
        <f>30.06*120</f>
        <v>3607.2</v>
      </c>
      <c r="I188" s="1"/>
    </row>
    <row r="189" spans="2:9" ht="15.75" x14ac:dyDescent="0.25">
      <c r="B189" s="71"/>
      <c r="C189" s="72"/>
      <c r="D189" s="72"/>
      <c r="E189" s="72"/>
      <c r="F189" s="4" t="s">
        <v>7</v>
      </c>
      <c r="G189" s="4"/>
      <c r="H189" s="6"/>
      <c r="I189" s="6">
        <f>+SUM(H186:H188)</f>
        <v>3607.2</v>
      </c>
    </row>
    <row r="191" spans="2:9" ht="15.75" x14ac:dyDescent="0.25">
      <c r="B191" s="3" t="s">
        <v>0</v>
      </c>
      <c r="C191" s="3" t="str">
        <f>+$B$2</f>
        <v>4.</v>
      </c>
      <c r="D191" s="4" t="str">
        <f>+D184</f>
        <v>13.</v>
      </c>
      <c r="E191" s="50">
        <v>23</v>
      </c>
      <c r="F191" s="76" t="s">
        <v>181</v>
      </c>
      <c r="G191" s="77"/>
      <c r="H191" s="1" t="s">
        <v>1</v>
      </c>
      <c r="I191" s="1" t="s">
        <v>54</v>
      </c>
    </row>
    <row r="192" spans="2:9" ht="15.75" x14ac:dyDescent="0.25">
      <c r="B192" s="73" t="s">
        <v>2</v>
      </c>
      <c r="C192" s="74"/>
      <c r="D192" s="74"/>
      <c r="E192" s="74"/>
      <c r="F192" s="1" t="s">
        <v>3</v>
      </c>
      <c r="G192" s="1" t="s">
        <v>4</v>
      </c>
      <c r="H192" s="1" t="s">
        <v>5</v>
      </c>
      <c r="I192" s="1" t="s">
        <v>6</v>
      </c>
    </row>
    <row r="193" spans="2:9" ht="15.75" x14ac:dyDescent="0.25">
      <c r="B193" s="73" t="s">
        <v>161</v>
      </c>
      <c r="C193" s="73"/>
      <c r="D193" s="73"/>
      <c r="E193" s="73"/>
      <c r="F193" s="1" t="s">
        <v>182</v>
      </c>
      <c r="G193" s="1">
        <v>1</v>
      </c>
      <c r="H193" s="1">
        <f>+(6+0.25*2)*(5+0.25*2)</f>
        <v>35.75</v>
      </c>
      <c r="I193" s="1"/>
    </row>
    <row r="194" spans="2:9" ht="15.75" x14ac:dyDescent="0.25">
      <c r="B194" s="73"/>
      <c r="C194" s="73"/>
      <c r="D194" s="73"/>
      <c r="E194" s="73"/>
      <c r="F194" s="1" t="s">
        <v>183</v>
      </c>
      <c r="G194" s="1"/>
      <c r="H194" s="1"/>
      <c r="I194" s="1"/>
    </row>
    <row r="195" spans="2:9" ht="15.75" x14ac:dyDescent="0.25">
      <c r="B195" s="71"/>
      <c r="C195" s="72"/>
      <c r="D195" s="72"/>
      <c r="E195" s="72"/>
      <c r="F195" s="4" t="s">
        <v>7</v>
      </c>
      <c r="G195" s="4"/>
      <c r="H195" s="6"/>
      <c r="I195" s="6">
        <f>+SUM(H193:H194)</f>
        <v>35.75</v>
      </c>
    </row>
  </sheetData>
  <mergeCells count="172">
    <mergeCell ref="B194:E194"/>
    <mergeCell ref="B195:E195"/>
    <mergeCell ref="F16:G16"/>
    <mergeCell ref="B17:E17"/>
    <mergeCell ref="B18:E18"/>
    <mergeCell ref="B20:E20"/>
    <mergeCell ref="B19:E19"/>
    <mergeCell ref="F191:G191"/>
    <mergeCell ref="B192:E192"/>
    <mergeCell ref="B193:E193"/>
    <mergeCell ref="B181:E181"/>
    <mergeCell ref="F144:G144"/>
    <mergeCell ref="B145:E145"/>
    <mergeCell ref="B146:E146"/>
    <mergeCell ref="B147:E147"/>
    <mergeCell ref="B148:E148"/>
    <mergeCell ref="B141:E141"/>
    <mergeCell ref="B142:E142"/>
    <mergeCell ref="B126:E126"/>
    <mergeCell ref="B70:E70"/>
    <mergeCell ref="B71:E71"/>
    <mergeCell ref="B72:E72"/>
    <mergeCell ref="B73:E73"/>
    <mergeCell ref="B74:E74"/>
    <mergeCell ref="F6:G6"/>
    <mergeCell ref="B7:E7"/>
    <mergeCell ref="B8:E8"/>
    <mergeCell ref="B9:E9"/>
    <mergeCell ref="F11:G11"/>
    <mergeCell ref="B12:E12"/>
    <mergeCell ref="B13:E13"/>
    <mergeCell ref="B14:E14"/>
    <mergeCell ref="B139:E139"/>
    <mergeCell ref="B66:E66"/>
    <mergeCell ref="B49:E49"/>
    <mergeCell ref="B50:E50"/>
    <mergeCell ref="B51:E51"/>
    <mergeCell ref="B52:E52"/>
    <mergeCell ref="C114:I114"/>
    <mergeCell ref="B87:E87"/>
    <mergeCell ref="B88:E88"/>
    <mergeCell ref="B89:E89"/>
    <mergeCell ref="B90:E90"/>
    <mergeCell ref="B91:E91"/>
    <mergeCell ref="B92:E92"/>
    <mergeCell ref="B86:E86"/>
    <mergeCell ref="B136:E136"/>
    <mergeCell ref="B137:E137"/>
    <mergeCell ref="B48:E48"/>
    <mergeCell ref="B68:E68"/>
    <mergeCell ref="B76:E76"/>
    <mergeCell ref="B77:E77"/>
    <mergeCell ref="B78:E78"/>
    <mergeCell ref="B79:E79"/>
    <mergeCell ref="B80:E80"/>
    <mergeCell ref="B81:E81"/>
    <mergeCell ref="B82:E82"/>
    <mergeCell ref="B53:E53"/>
    <mergeCell ref="B54:E54"/>
    <mergeCell ref="B55:E55"/>
    <mergeCell ref="B59:E59"/>
    <mergeCell ref="B60:E60"/>
    <mergeCell ref="B56:E56"/>
    <mergeCell ref="B57:E57"/>
    <mergeCell ref="B58:E58"/>
    <mergeCell ref="B83:E83"/>
    <mergeCell ref="B84:E84"/>
    <mergeCell ref="B85:E85"/>
    <mergeCell ref="B98:E98"/>
    <mergeCell ref="B67:E67"/>
    <mergeCell ref="F116:G116"/>
    <mergeCell ref="B117:E117"/>
    <mergeCell ref="B118:E118"/>
    <mergeCell ref="B69:E69"/>
    <mergeCell ref="B119:E119"/>
    <mergeCell ref="F46:G46"/>
    <mergeCell ref="B47:E47"/>
    <mergeCell ref="F134:G134"/>
    <mergeCell ref="B135:E135"/>
    <mergeCell ref="F63:G63"/>
    <mergeCell ref="F121:G121"/>
    <mergeCell ref="F95:G95"/>
    <mergeCell ref="B111:E111"/>
    <mergeCell ref="C132:I132"/>
    <mergeCell ref="B65:E65"/>
    <mergeCell ref="B75:E75"/>
    <mergeCell ref="B93:E93"/>
    <mergeCell ref="B61:E61"/>
    <mergeCell ref="B64:E64"/>
    <mergeCell ref="B122:E122"/>
    <mergeCell ref="B123:E123"/>
    <mergeCell ref="B99:E99"/>
    <mergeCell ref="B106:E106"/>
    <mergeCell ref="B129:E129"/>
    <mergeCell ref="F108:G108"/>
    <mergeCell ref="B109:E109"/>
    <mergeCell ref="B96:E96"/>
    <mergeCell ref="B97:E97"/>
    <mergeCell ref="C2:I2"/>
    <mergeCell ref="C4:I4"/>
    <mergeCell ref="F22:G22"/>
    <mergeCell ref="B23:E23"/>
    <mergeCell ref="B24:E24"/>
    <mergeCell ref="B25:E25"/>
    <mergeCell ref="B44:E44"/>
    <mergeCell ref="B26:E26"/>
    <mergeCell ref="B27:E27"/>
    <mergeCell ref="B28:E28"/>
    <mergeCell ref="B29:E29"/>
    <mergeCell ref="B40:E40"/>
    <mergeCell ref="B41:E41"/>
    <mergeCell ref="B42:E42"/>
    <mergeCell ref="B35:E35"/>
    <mergeCell ref="B36:E36"/>
    <mergeCell ref="B37:E37"/>
    <mergeCell ref="B38:E38"/>
    <mergeCell ref="B39:E39"/>
    <mergeCell ref="B30:E30"/>
    <mergeCell ref="B31:E31"/>
    <mergeCell ref="B32:E32"/>
    <mergeCell ref="B33:E33"/>
    <mergeCell ref="B34:E34"/>
    <mergeCell ref="B43:E43"/>
    <mergeCell ref="B156:E156"/>
    <mergeCell ref="B157:E157"/>
    <mergeCell ref="B158:E158"/>
    <mergeCell ref="B159:E159"/>
    <mergeCell ref="B100:E100"/>
    <mergeCell ref="B101:E101"/>
    <mergeCell ref="B102:E102"/>
    <mergeCell ref="B103:E103"/>
    <mergeCell ref="B104:E104"/>
    <mergeCell ref="B105:E105"/>
    <mergeCell ref="B110:E110"/>
    <mergeCell ref="C150:I150"/>
    <mergeCell ref="F152:G152"/>
    <mergeCell ref="B153:E153"/>
    <mergeCell ref="B154:E154"/>
    <mergeCell ref="B155:E155"/>
    <mergeCell ref="B138:E138"/>
    <mergeCell ref="B140:E140"/>
    <mergeCell ref="B130:E130"/>
    <mergeCell ref="B112:E112"/>
    <mergeCell ref="B127:E127"/>
    <mergeCell ref="B128:E128"/>
    <mergeCell ref="B124:E124"/>
    <mergeCell ref="B125:E125"/>
    <mergeCell ref="F184:G184"/>
    <mergeCell ref="C168:I168"/>
    <mergeCell ref="F170:G170"/>
    <mergeCell ref="B171:E171"/>
    <mergeCell ref="B172:E172"/>
    <mergeCell ref="B173:E173"/>
    <mergeCell ref="B174:E174"/>
    <mergeCell ref="B175:E175"/>
    <mergeCell ref="B160:E160"/>
    <mergeCell ref="B166:E166"/>
    <mergeCell ref="B164:E164"/>
    <mergeCell ref="B165:E165"/>
    <mergeCell ref="B163:E163"/>
    <mergeCell ref="F162:G162"/>
    <mergeCell ref="B189:E189"/>
    <mergeCell ref="B187:E187"/>
    <mergeCell ref="B185:E185"/>
    <mergeCell ref="B186:E186"/>
    <mergeCell ref="B188:E188"/>
    <mergeCell ref="B182:E182"/>
    <mergeCell ref="B176:E176"/>
    <mergeCell ref="B177:E177"/>
    <mergeCell ref="B178:E178"/>
    <mergeCell ref="B179:E179"/>
    <mergeCell ref="B180:E18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6"/>
  <dimension ref="B1:I113"/>
  <sheetViews>
    <sheetView workbookViewId="0"/>
  </sheetViews>
  <sheetFormatPr baseColWidth="10" defaultRowHeight="15" x14ac:dyDescent="0.25"/>
  <cols>
    <col min="2" max="2" width="5.85546875" customWidth="1"/>
    <col min="3" max="3" width="3.5703125" customWidth="1"/>
    <col min="4" max="4" width="2.140625" customWidth="1"/>
    <col min="5" max="5" width="3" customWidth="1"/>
    <col min="6" max="6" width="52.5703125" customWidth="1"/>
    <col min="7" max="9" width="9.140625" customWidth="1"/>
  </cols>
  <sheetData>
    <row r="1" spans="2:9" x14ac:dyDescent="0.25">
      <c r="B1" s="10"/>
      <c r="C1" s="10"/>
      <c r="D1" s="10"/>
      <c r="E1" s="10"/>
      <c r="F1" s="10"/>
      <c r="G1" s="10"/>
      <c r="H1" s="10"/>
      <c r="I1" s="10"/>
    </row>
    <row r="2" spans="2:9" ht="15.75" x14ac:dyDescent="0.25">
      <c r="B2" s="12" t="s">
        <v>23</v>
      </c>
      <c r="C2" s="79"/>
      <c r="D2" s="79"/>
      <c r="E2" s="79"/>
      <c r="F2" s="79"/>
      <c r="G2" s="79"/>
      <c r="H2" s="79"/>
      <c r="I2" s="80"/>
    </row>
    <row r="3" spans="2:9" x14ac:dyDescent="0.25">
      <c r="B3" s="10"/>
      <c r="C3" s="10"/>
      <c r="D3" s="10"/>
      <c r="E3" s="10"/>
      <c r="F3" s="10"/>
      <c r="G3" s="10"/>
      <c r="H3" s="10"/>
      <c r="I3" s="10"/>
    </row>
    <row r="4" spans="2:9" ht="15.75" x14ac:dyDescent="0.25">
      <c r="B4" s="11" t="s">
        <v>10</v>
      </c>
      <c r="C4" s="76" t="s">
        <v>8</v>
      </c>
      <c r="D4" s="78"/>
      <c r="E4" s="78"/>
      <c r="F4" s="78"/>
      <c r="G4" s="78"/>
      <c r="H4" s="78"/>
      <c r="I4" s="77"/>
    </row>
    <row r="5" spans="2:9" x14ac:dyDescent="0.25">
      <c r="B5" s="10"/>
      <c r="C5" s="10"/>
      <c r="D5" s="10"/>
      <c r="E5" s="10"/>
      <c r="F5" s="10"/>
      <c r="G5" s="10"/>
      <c r="H5" s="10"/>
      <c r="I5" s="10"/>
    </row>
    <row r="6" spans="2:9" ht="15.75" x14ac:dyDescent="0.25">
      <c r="B6" s="3" t="s">
        <v>0</v>
      </c>
      <c r="C6" s="3" t="str">
        <f>+$B$2</f>
        <v>10.</v>
      </c>
      <c r="D6" s="4" t="str">
        <f>+$B$4</f>
        <v>1.</v>
      </c>
      <c r="E6" s="5">
        <v>1</v>
      </c>
      <c r="F6" s="76"/>
      <c r="G6" s="77"/>
      <c r="H6" s="1" t="s">
        <v>1</v>
      </c>
      <c r="I6" s="1"/>
    </row>
    <row r="7" spans="2:9" ht="15.75" x14ac:dyDescent="0.25">
      <c r="B7" s="73" t="s">
        <v>2</v>
      </c>
      <c r="C7" s="74"/>
      <c r="D7" s="74"/>
      <c r="E7" s="74"/>
      <c r="F7" s="1" t="s">
        <v>3</v>
      </c>
      <c r="G7" s="1" t="s">
        <v>4</v>
      </c>
      <c r="H7" s="1" t="s">
        <v>5</v>
      </c>
      <c r="I7" s="1" t="s">
        <v>6</v>
      </c>
    </row>
    <row r="8" spans="2:9" ht="15.75" x14ac:dyDescent="0.25">
      <c r="B8" s="73"/>
      <c r="C8" s="73"/>
      <c r="D8" s="73"/>
      <c r="E8" s="73"/>
      <c r="F8" s="1"/>
      <c r="G8" s="1"/>
      <c r="H8" s="1"/>
      <c r="I8" s="1"/>
    </row>
    <row r="9" spans="2:9" ht="15.75" x14ac:dyDescent="0.25">
      <c r="B9" s="73"/>
      <c r="C9" s="73"/>
      <c r="D9" s="73"/>
      <c r="E9" s="73"/>
      <c r="F9" s="1"/>
      <c r="G9" s="1"/>
      <c r="H9" s="1"/>
      <c r="I9" s="1"/>
    </row>
    <row r="10" spans="2:9" ht="15.75" x14ac:dyDescent="0.25">
      <c r="B10" s="75"/>
      <c r="C10" s="75"/>
      <c r="D10" s="75"/>
      <c r="E10" s="75"/>
      <c r="F10" s="7"/>
      <c r="G10" s="8"/>
      <c r="H10" s="8"/>
      <c r="I10" s="1"/>
    </row>
    <row r="11" spans="2:9" ht="15.75" x14ac:dyDescent="0.25">
      <c r="B11" s="71"/>
      <c r="C11" s="72"/>
      <c r="D11" s="72"/>
      <c r="E11" s="72"/>
      <c r="F11" s="4" t="s">
        <v>7</v>
      </c>
      <c r="G11" s="4"/>
      <c r="H11" s="6"/>
      <c r="I11" s="6">
        <f>+SUM(H8:H10)</f>
        <v>0</v>
      </c>
    </row>
    <row r="12" spans="2:9" x14ac:dyDescent="0.25">
      <c r="B12" s="10"/>
      <c r="C12" s="10"/>
      <c r="D12" s="10"/>
      <c r="E12" s="10"/>
      <c r="F12" s="10"/>
      <c r="G12" s="10"/>
      <c r="H12" s="10"/>
      <c r="I12" s="10"/>
    </row>
    <row r="13" spans="2:9" ht="15.75" x14ac:dyDescent="0.25">
      <c r="B13" s="3" t="s">
        <v>0</v>
      </c>
      <c r="C13" s="3" t="str">
        <f>+$B$2</f>
        <v>10.</v>
      </c>
      <c r="D13" s="4" t="str">
        <f>+$B$4</f>
        <v>1.</v>
      </c>
      <c r="E13" s="5">
        <f>+E6+1</f>
        <v>2</v>
      </c>
      <c r="F13" s="76"/>
      <c r="G13" s="77"/>
      <c r="H13" s="1" t="s">
        <v>1</v>
      </c>
      <c r="I13" s="1"/>
    </row>
    <row r="14" spans="2:9" ht="15.75" x14ac:dyDescent="0.25">
      <c r="B14" s="73" t="s">
        <v>2</v>
      </c>
      <c r="C14" s="74"/>
      <c r="D14" s="74"/>
      <c r="E14" s="74"/>
      <c r="F14" s="1" t="s">
        <v>3</v>
      </c>
      <c r="G14" s="1" t="s">
        <v>4</v>
      </c>
      <c r="H14" s="1" t="s">
        <v>5</v>
      </c>
      <c r="I14" s="1" t="s">
        <v>6</v>
      </c>
    </row>
    <row r="15" spans="2:9" ht="15.75" x14ac:dyDescent="0.25">
      <c r="B15" s="73"/>
      <c r="C15" s="73"/>
      <c r="D15" s="73"/>
      <c r="E15" s="73"/>
      <c r="F15" s="1"/>
      <c r="G15" s="1"/>
      <c r="H15" s="1"/>
      <c r="I15" s="1"/>
    </row>
    <row r="16" spans="2:9" ht="15.75" x14ac:dyDescent="0.25">
      <c r="B16" s="73"/>
      <c r="C16" s="73"/>
      <c r="D16" s="73"/>
      <c r="E16" s="73"/>
      <c r="F16" s="1"/>
      <c r="G16" s="1"/>
      <c r="H16" s="1"/>
      <c r="I16" s="1"/>
    </row>
    <row r="17" spans="2:9" ht="15.75" x14ac:dyDescent="0.25">
      <c r="B17" s="75"/>
      <c r="C17" s="75"/>
      <c r="D17" s="75"/>
      <c r="E17" s="75"/>
      <c r="F17" s="7"/>
      <c r="G17" s="8"/>
      <c r="H17" s="8"/>
      <c r="I17" s="1"/>
    </row>
    <row r="18" spans="2:9" ht="15.75" x14ac:dyDescent="0.25">
      <c r="B18" s="71"/>
      <c r="C18" s="72"/>
      <c r="D18" s="72"/>
      <c r="E18" s="72"/>
      <c r="F18" s="4" t="s">
        <v>7</v>
      </c>
      <c r="G18" s="4"/>
      <c r="H18" s="6"/>
      <c r="I18" s="6">
        <f>+SUM(H15:H17)</f>
        <v>0</v>
      </c>
    </row>
    <row r="19" spans="2:9" x14ac:dyDescent="0.25">
      <c r="B19" s="10"/>
      <c r="C19" s="10"/>
      <c r="D19" s="10"/>
      <c r="E19" s="10"/>
      <c r="F19" s="10"/>
      <c r="G19" s="10"/>
      <c r="H19" s="10"/>
      <c r="I19" s="10"/>
    </row>
    <row r="20" spans="2:9" ht="15.75" x14ac:dyDescent="0.25">
      <c r="B20" s="3" t="s">
        <v>0</v>
      </c>
      <c r="C20" s="3" t="str">
        <f>+$B$2</f>
        <v>10.</v>
      </c>
      <c r="D20" s="4" t="str">
        <f>+$B$4</f>
        <v>1.</v>
      </c>
      <c r="E20" s="5">
        <f>+E13+1</f>
        <v>3</v>
      </c>
      <c r="F20" s="76"/>
      <c r="G20" s="77"/>
      <c r="H20" s="1" t="s">
        <v>1</v>
      </c>
      <c r="I20" s="1"/>
    </row>
    <row r="21" spans="2:9" ht="15.75" x14ac:dyDescent="0.25">
      <c r="B21" s="73" t="s">
        <v>2</v>
      </c>
      <c r="C21" s="74"/>
      <c r="D21" s="74"/>
      <c r="E21" s="74"/>
      <c r="F21" s="1" t="s">
        <v>3</v>
      </c>
      <c r="G21" s="1" t="s">
        <v>4</v>
      </c>
      <c r="H21" s="1" t="s">
        <v>5</v>
      </c>
      <c r="I21" s="1" t="s">
        <v>6</v>
      </c>
    </row>
    <row r="22" spans="2:9" ht="15.75" x14ac:dyDescent="0.25">
      <c r="B22" s="73"/>
      <c r="C22" s="73"/>
      <c r="D22" s="73"/>
      <c r="E22" s="73"/>
      <c r="F22" s="1"/>
      <c r="G22" s="1"/>
      <c r="H22" s="1"/>
      <c r="I22" s="1"/>
    </row>
    <row r="23" spans="2:9" ht="15.75" x14ac:dyDescent="0.25">
      <c r="B23" s="73"/>
      <c r="C23" s="73"/>
      <c r="D23" s="73"/>
      <c r="E23" s="73"/>
      <c r="F23" s="1"/>
      <c r="G23" s="1"/>
      <c r="H23" s="1"/>
      <c r="I23" s="1"/>
    </row>
    <row r="24" spans="2:9" ht="15.75" x14ac:dyDescent="0.25">
      <c r="B24" s="75"/>
      <c r="C24" s="75"/>
      <c r="D24" s="75"/>
      <c r="E24" s="75"/>
      <c r="F24" s="7"/>
      <c r="G24" s="8"/>
      <c r="H24" s="8"/>
      <c r="I24" s="1"/>
    </row>
    <row r="25" spans="2:9" ht="15.75" x14ac:dyDescent="0.25">
      <c r="B25" s="71"/>
      <c r="C25" s="72"/>
      <c r="D25" s="72"/>
      <c r="E25" s="72"/>
      <c r="F25" s="4" t="s">
        <v>7</v>
      </c>
      <c r="G25" s="4"/>
      <c r="H25" s="6"/>
      <c r="I25" s="6">
        <f>+SUM(H22:H24)</f>
        <v>0</v>
      </c>
    </row>
    <row r="26" spans="2:9" x14ac:dyDescent="0.25">
      <c r="B26" s="10"/>
      <c r="C26" s="10"/>
      <c r="D26" s="10"/>
      <c r="E26" s="10"/>
      <c r="F26" s="10"/>
      <c r="G26" s="10"/>
      <c r="H26" s="10"/>
      <c r="I26" s="10"/>
    </row>
    <row r="27" spans="2:9" ht="15.75" x14ac:dyDescent="0.25">
      <c r="B27" s="3" t="s">
        <v>0</v>
      </c>
      <c r="C27" s="3" t="str">
        <f>+$B$2</f>
        <v>10.</v>
      </c>
      <c r="D27" s="4" t="str">
        <f>+$B$4</f>
        <v>1.</v>
      </c>
      <c r="E27" s="5">
        <f>+E20+1</f>
        <v>4</v>
      </c>
      <c r="F27" s="76"/>
      <c r="G27" s="77"/>
      <c r="H27" s="1" t="s">
        <v>1</v>
      </c>
      <c r="I27" s="1"/>
    </row>
    <row r="28" spans="2:9" ht="15.75" x14ac:dyDescent="0.25">
      <c r="B28" s="73" t="s">
        <v>2</v>
      </c>
      <c r="C28" s="74"/>
      <c r="D28" s="74"/>
      <c r="E28" s="74"/>
      <c r="F28" s="1" t="s">
        <v>3</v>
      </c>
      <c r="G28" s="1" t="s">
        <v>4</v>
      </c>
      <c r="H28" s="1" t="s">
        <v>5</v>
      </c>
      <c r="I28" s="1" t="s">
        <v>6</v>
      </c>
    </row>
    <row r="29" spans="2:9" ht="15.75" x14ac:dyDescent="0.25">
      <c r="B29" s="73"/>
      <c r="C29" s="73"/>
      <c r="D29" s="73"/>
      <c r="E29" s="73"/>
      <c r="F29" s="1"/>
      <c r="G29" s="1"/>
      <c r="H29" s="1"/>
      <c r="I29" s="1"/>
    </row>
    <row r="30" spans="2:9" ht="15.75" x14ac:dyDescent="0.25">
      <c r="B30" s="73"/>
      <c r="C30" s="73"/>
      <c r="D30" s="73"/>
      <c r="E30" s="73"/>
      <c r="F30" s="1"/>
      <c r="G30" s="1"/>
      <c r="H30" s="1"/>
      <c r="I30" s="1"/>
    </row>
    <row r="31" spans="2:9" ht="15.75" x14ac:dyDescent="0.25">
      <c r="B31" s="75"/>
      <c r="C31" s="75"/>
      <c r="D31" s="75"/>
      <c r="E31" s="75"/>
      <c r="F31" s="7"/>
      <c r="G31" s="8"/>
      <c r="H31" s="8"/>
      <c r="I31" s="1"/>
    </row>
    <row r="32" spans="2:9" ht="15.75" x14ac:dyDescent="0.25">
      <c r="B32" s="71"/>
      <c r="C32" s="72"/>
      <c r="D32" s="72"/>
      <c r="E32" s="72"/>
      <c r="F32" s="4" t="s">
        <v>7</v>
      </c>
      <c r="G32" s="4"/>
      <c r="H32" s="6"/>
      <c r="I32" s="6">
        <f>+SUM(H29:H31)</f>
        <v>0</v>
      </c>
    </row>
    <row r="33" spans="2:9" ht="15.75" x14ac:dyDescent="0.25">
      <c r="B33" s="14"/>
      <c r="C33" s="14"/>
      <c r="D33" s="14"/>
      <c r="E33" s="14"/>
      <c r="F33" s="9"/>
      <c r="G33" s="9"/>
      <c r="H33" s="9"/>
      <c r="I33" s="9"/>
    </row>
    <row r="34" spans="2:9" ht="15.75" x14ac:dyDescent="0.25">
      <c r="B34" s="3" t="s">
        <v>0</v>
      </c>
      <c r="C34" s="3" t="str">
        <f>+$B$2</f>
        <v>10.</v>
      </c>
      <c r="D34" s="4" t="str">
        <f>+$B$4</f>
        <v>1.</v>
      </c>
      <c r="E34" s="5">
        <f>+E27+1</f>
        <v>5</v>
      </c>
      <c r="F34" s="76"/>
      <c r="G34" s="77"/>
      <c r="H34" s="1" t="s">
        <v>1</v>
      </c>
      <c r="I34" s="1"/>
    </row>
    <row r="35" spans="2:9" ht="15.75" x14ac:dyDescent="0.25">
      <c r="B35" s="73" t="s">
        <v>2</v>
      </c>
      <c r="C35" s="74"/>
      <c r="D35" s="74"/>
      <c r="E35" s="74"/>
      <c r="F35" s="1" t="s">
        <v>3</v>
      </c>
      <c r="G35" s="1" t="s">
        <v>4</v>
      </c>
      <c r="H35" s="1" t="s">
        <v>5</v>
      </c>
      <c r="I35" s="1" t="s">
        <v>6</v>
      </c>
    </row>
    <row r="36" spans="2:9" ht="15.75" x14ac:dyDescent="0.25">
      <c r="B36" s="73"/>
      <c r="C36" s="73"/>
      <c r="D36" s="73"/>
      <c r="E36" s="73"/>
      <c r="F36" s="1"/>
      <c r="G36" s="1"/>
      <c r="H36" s="1"/>
      <c r="I36" s="1"/>
    </row>
    <row r="37" spans="2:9" ht="15.75" x14ac:dyDescent="0.25">
      <c r="B37" s="73"/>
      <c r="C37" s="73"/>
      <c r="D37" s="73"/>
      <c r="E37" s="73"/>
      <c r="F37" s="1"/>
      <c r="G37" s="1"/>
      <c r="H37" s="1"/>
      <c r="I37" s="1"/>
    </row>
    <row r="38" spans="2:9" ht="15.75" x14ac:dyDescent="0.25">
      <c r="B38" s="75"/>
      <c r="C38" s="75"/>
      <c r="D38" s="75"/>
      <c r="E38" s="75"/>
      <c r="F38" s="7"/>
      <c r="G38" s="8"/>
      <c r="H38" s="8"/>
      <c r="I38" s="1"/>
    </row>
    <row r="39" spans="2:9" ht="15.75" x14ac:dyDescent="0.25">
      <c r="B39" s="71"/>
      <c r="C39" s="72"/>
      <c r="D39" s="72"/>
      <c r="E39" s="72"/>
      <c r="F39" s="4" t="s">
        <v>7</v>
      </c>
      <c r="G39" s="4"/>
      <c r="H39" s="6"/>
      <c r="I39" s="6">
        <f>+SUM(H36:H38)</f>
        <v>0</v>
      </c>
    </row>
    <row r="40" spans="2:9" x14ac:dyDescent="0.25">
      <c r="B40" s="10"/>
      <c r="C40" s="10"/>
      <c r="D40" s="10"/>
      <c r="E40" s="10"/>
      <c r="F40" s="10"/>
      <c r="G40" s="10"/>
      <c r="H40" s="10"/>
      <c r="I40" s="10"/>
    </row>
    <row r="41" spans="2:9" ht="15.75" x14ac:dyDescent="0.25">
      <c r="B41" s="11" t="s">
        <v>9</v>
      </c>
      <c r="C41" s="76" t="s">
        <v>12</v>
      </c>
      <c r="D41" s="78"/>
      <c r="E41" s="78"/>
      <c r="F41" s="78"/>
      <c r="G41" s="78"/>
      <c r="H41" s="78"/>
      <c r="I41" s="77"/>
    </row>
    <row r="42" spans="2:9" x14ac:dyDescent="0.25">
      <c r="B42" s="10"/>
      <c r="C42" s="10"/>
      <c r="D42" s="10"/>
      <c r="E42" s="10"/>
      <c r="F42" s="10"/>
      <c r="G42" s="10"/>
      <c r="H42" s="10"/>
      <c r="I42" s="10"/>
    </row>
    <row r="43" spans="2:9" ht="15.75" x14ac:dyDescent="0.25">
      <c r="B43" s="3" t="s">
        <v>0</v>
      </c>
      <c r="C43" s="3" t="str">
        <f>+$B$2</f>
        <v>10.</v>
      </c>
      <c r="D43" s="4" t="str">
        <f>+$B$41</f>
        <v>2.</v>
      </c>
      <c r="E43" s="5">
        <v>1</v>
      </c>
      <c r="F43" s="76"/>
      <c r="G43" s="77"/>
      <c r="H43" s="1" t="s">
        <v>1</v>
      </c>
      <c r="I43" s="1"/>
    </row>
    <row r="44" spans="2:9" ht="15.75" x14ac:dyDescent="0.25">
      <c r="B44" s="73" t="s">
        <v>2</v>
      </c>
      <c r="C44" s="74"/>
      <c r="D44" s="74"/>
      <c r="E44" s="74"/>
      <c r="F44" s="1" t="s">
        <v>3</v>
      </c>
      <c r="G44" s="1" t="s">
        <v>4</v>
      </c>
      <c r="H44" s="1" t="s">
        <v>5</v>
      </c>
      <c r="I44" s="1" t="s">
        <v>6</v>
      </c>
    </row>
    <row r="45" spans="2:9" ht="15.75" x14ac:dyDescent="0.25">
      <c r="B45" s="73"/>
      <c r="C45" s="73"/>
      <c r="D45" s="73"/>
      <c r="E45" s="73"/>
      <c r="F45" s="1"/>
      <c r="G45" s="1"/>
      <c r="H45" s="1"/>
      <c r="I45" s="1"/>
    </row>
    <row r="46" spans="2:9" ht="15.75" x14ac:dyDescent="0.25">
      <c r="B46" s="73"/>
      <c r="C46" s="73"/>
      <c r="D46" s="73"/>
      <c r="E46" s="73"/>
      <c r="F46" s="1"/>
      <c r="G46" s="1"/>
      <c r="H46" s="1"/>
      <c r="I46" s="1"/>
    </row>
    <row r="47" spans="2:9" ht="15.75" x14ac:dyDescent="0.25">
      <c r="B47" s="75"/>
      <c r="C47" s="75"/>
      <c r="D47" s="75"/>
      <c r="E47" s="75"/>
      <c r="F47" s="7"/>
      <c r="G47" s="8"/>
      <c r="H47" s="8"/>
      <c r="I47" s="1"/>
    </row>
    <row r="48" spans="2:9" ht="15.75" x14ac:dyDescent="0.25">
      <c r="B48" s="71"/>
      <c r="C48" s="72"/>
      <c r="D48" s="72"/>
      <c r="E48" s="72"/>
      <c r="F48" s="4" t="s">
        <v>7</v>
      </c>
      <c r="G48" s="4"/>
      <c r="H48" s="6"/>
      <c r="I48" s="6">
        <f>+SUM(H45:H47)</f>
        <v>0</v>
      </c>
    </row>
    <row r="49" spans="2:9" x14ac:dyDescent="0.25">
      <c r="B49" s="10"/>
      <c r="C49" s="10"/>
      <c r="D49" s="10"/>
      <c r="E49" s="10"/>
      <c r="F49" s="10"/>
      <c r="G49" s="10"/>
      <c r="H49" s="10"/>
      <c r="I49" s="10"/>
    </row>
    <row r="50" spans="2:9" ht="15.75" x14ac:dyDescent="0.25">
      <c r="B50" s="3" t="s">
        <v>0</v>
      </c>
      <c r="C50" s="3" t="str">
        <f>+$B$2</f>
        <v>10.</v>
      </c>
      <c r="D50" s="4" t="str">
        <f>+$B$41</f>
        <v>2.</v>
      </c>
      <c r="E50" s="5">
        <f>+E43+1</f>
        <v>2</v>
      </c>
      <c r="F50" s="76"/>
      <c r="G50" s="77"/>
      <c r="H50" s="1" t="s">
        <v>1</v>
      </c>
      <c r="I50" s="1"/>
    </row>
    <row r="51" spans="2:9" ht="15.75" x14ac:dyDescent="0.25">
      <c r="B51" s="73" t="s">
        <v>2</v>
      </c>
      <c r="C51" s="74"/>
      <c r="D51" s="74"/>
      <c r="E51" s="74"/>
      <c r="F51" s="1" t="s">
        <v>3</v>
      </c>
      <c r="G51" s="1" t="s">
        <v>4</v>
      </c>
      <c r="H51" s="1" t="s">
        <v>5</v>
      </c>
      <c r="I51" s="1" t="s">
        <v>6</v>
      </c>
    </row>
    <row r="52" spans="2:9" ht="15.75" x14ac:dyDescent="0.25">
      <c r="B52" s="73"/>
      <c r="C52" s="73"/>
      <c r="D52" s="73"/>
      <c r="E52" s="73"/>
      <c r="F52" s="1"/>
      <c r="G52" s="1"/>
      <c r="H52" s="1"/>
      <c r="I52" s="1"/>
    </row>
    <row r="53" spans="2:9" ht="15.75" x14ac:dyDescent="0.25">
      <c r="B53" s="73"/>
      <c r="C53" s="73"/>
      <c r="D53" s="73"/>
      <c r="E53" s="73"/>
      <c r="F53" s="1"/>
      <c r="G53" s="1"/>
      <c r="H53" s="1"/>
      <c r="I53" s="1"/>
    </row>
    <row r="54" spans="2:9" ht="15.75" x14ac:dyDescent="0.25">
      <c r="B54" s="75"/>
      <c r="C54" s="75"/>
      <c r="D54" s="75"/>
      <c r="E54" s="75"/>
      <c r="F54" s="7"/>
      <c r="G54" s="8"/>
      <c r="H54" s="8"/>
      <c r="I54" s="1"/>
    </row>
    <row r="55" spans="2:9" ht="15.75" x14ac:dyDescent="0.25">
      <c r="B55" s="71"/>
      <c r="C55" s="72"/>
      <c r="D55" s="72"/>
      <c r="E55" s="72"/>
      <c r="F55" s="4" t="s">
        <v>7</v>
      </c>
      <c r="G55" s="4"/>
      <c r="H55" s="6"/>
      <c r="I55" s="6">
        <f>+SUM(H52:H54)</f>
        <v>0</v>
      </c>
    </row>
    <row r="56" spans="2:9" x14ac:dyDescent="0.25">
      <c r="B56" s="10"/>
      <c r="C56" s="10"/>
      <c r="D56" s="10"/>
      <c r="E56" s="10"/>
      <c r="F56" s="10"/>
      <c r="G56" s="10"/>
      <c r="H56" s="10"/>
      <c r="I56" s="10"/>
    </row>
    <row r="57" spans="2:9" ht="15.75" x14ac:dyDescent="0.25">
      <c r="B57" s="3" t="s">
        <v>0</v>
      </c>
      <c r="C57" s="3" t="str">
        <f>+$B$2</f>
        <v>10.</v>
      </c>
      <c r="D57" s="4" t="str">
        <f>+$B$41</f>
        <v>2.</v>
      </c>
      <c r="E57" s="5">
        <f>+E50+1</f>
        <v>3</v>
      </c>
      <c r="F57" s="76"/>
      <c r="G57" s="77"/>
      <c r="H57" s="1" t="s">
        <v>1</v>
      </c>
      <c r="I57" s="1"/>
    </row>
    <row r="58" spans="2:9" ht="15.75" x14ac:dyDescent="0.25">
      <c r="B58" s="73" t="s">
        <v>2</v>
      </c>
      <c r="C58" s="74"/>
      <c r="D58" s="74"/>
      <c r="E58" s="74"/>
      <c r="F58" s="1" t="s">
        <v>3</v>
      </c>
      <c r="G58" s="1" t="s">
        <v>4</v>
      </c>
      <c r="H58" s="1" t="s">
        <v>5</v>
      </c>
      <c r="I58" s="1" t="s">
        <v>6</v>
      </c>
    </row>
    <row r="59" spans="2:9" ht="15.75" x14ac:dyDescent="0.25">
      <c r="B59" s="73"/>
      <c r="C59" s="73"/>
      <c r="D59" s="73"/>
      <c r="E59" s="73"/>
      <c r="F59" s="1"/>
      <c r="G59" s="1"/>
      <c r="H59" s="1"/>
      <c r="I59" s="1"/>
    </row>
    <row r="60" spans="2:9" ht="15.75" x14ac:dyDescent="0.25">
      <c r="B60" s="73"/>
      <c r="C60" s="73"/>
      <c r="D60" s="73"/>
      <c r="E60" s="73"/>
      <c r="F60" s="1"/>
      <c r="G60" s="1"/>
      <c r="H60" s="1"/>
      <c r="I60" s="1"/>
    </row>
    <row r="61" spans="2:9" ht="15.75" x14ac:dyDescent="0.25">
      <c r="B61" s="75"/>
      <c r="C61" s="75"/>
      <c r="D61" s="75"/>
      <c r="E61" s="75"/>
      <c r="F61" s="7"/>
      <c r="G61" s="8"/>
      <c r="H61" s="8"/>
      <c r="I61" s="1"/>
    </row>
    <row r="62" spans="2:9" ht="15.75" x14ac:dyDescent="0.25">
      <c r="B62" s="71"/>
      <c r="C62" s="72"/>
      <c r="D62" s="72"/>
      <c r="E62" s="72"/>
      <c r="F62" s="4" t="s">
        <v>7</v>
      </c>
      <c r="G62" s="4"/>
      <c r="H62" s="6"/>
      <c r="I62" s="6">
        <f>+SUM(H59:H61)</f>
        <v>0</v>
      </c>
    </row>
    <row r="63" spans="2:9" x14ac:dyDescent="0.25">
      <c r="B63" s="10"/>
      <c r="C63" s="10"/>
      <c r="D63" s="10"/>
      <c r="E63" s="10"/>
      <c r="F63" s="10"/>
      <c r="G63" s="10"/>
      <c r="H63" s="10"/>
      <c r="I63" s="10"/>
    </row>
    <row r="64" spans="2:9" ht="15.75" x14ac:dyDescent="0.25">
      <c r="B64" s="3" t="s">
        <v>0</v>
      </c>
      <c r="C64" s="3" t="str">
        <f>+$B$2</f>
        <v>10.</v>
      </c>
      <c r="D64" s="4" t="str">
        <f>+$B$41</f>
        <v>2.</v>
      </c>
      <c r="E64" s="5">
        <f>+E57+1</f>
        <v>4</v>
      </c>
      <c r="F64" s="76"/>
      <c r="G64" s="77"/>
      <c r="H64" s="1" t="s">
        <v>1</v>
      </c>
      <c r="I64" s="1"/>
    </row>
    <row r="65" spans="2:9" ht="15.75" x14ac:dyDescent="0.25">
      <c r="B65" s="73" t="s">
        <v>2</v>
      </c>
      <c r="C65" s="74"/>
      <c r="D65" s="74"/>
      <c r="E65" s="74"/>
      <c r="F65" s="1" t="s">
        <v>3</v>
      </c>
      <c r="G65" s="1" t="s">
        <v>4</v>
      </c>
      <c r="H65" s="1" t="s">
        <v>5</v>
      </c>
      <c r="I65" s="1" t="s">
        <v>6</v>
      </c>
    </row>
    <row r="66" spans="2:9" ht="15.75" x14ac:dyDescent="0.25">
      <c r="B66" s="73"/>
      <c r="C66" s="73"/>
      <c r="D66" s="73"/>
      <c r="E66" s="73"/>
      <c r="F66" s="1"/>
      <c r="G66" s="1"/>
      <c r="H66" s="1"/>
      <c r="I66" s="1"/>
    </row>
    <row r="67" spans="2:9" ht="15.75" x14ac:dyDescent="0.25">
      <c r="B67" s="73"/>
      <c r="C67" s="73"/>
      <c r="D67" s="73"/>
      <c r="E67" s="73"/>
      <c r="F67" s="1"/>
      <c r="G67" s="1"/>
      <c r="H67" s="1"/>
      <c r="I67" s="1"/>
    </row>
    <row r="68" spans="2:9" ht="15.75" x14ac:dyDescent="0.25">
      <c r="B68" s="75"/>
      <c r="C68" s="75"/>
      <c r="D68" s="75"/>
      <c r="E68" s="75"/>
      <c r="F68" s="7"/>
      <c r="G68" s="8"/>
      <c r="H68" s="8"/>
      <c r="I68" s="1"/>
    </row>
    <row r="69" spans="2:9" ht="15.75" x14ac:dyDescent="0.25">
      <c r="B69" s="71"/>
      <c r="C69" s="72"/>
      <c r="D69" s="72"/>
      <c r="E69" s="72"/>
      <c r="F69" s="4" t="s">
        <v>7</v>
      </c>
      <c r="G69" s="4"/>
      <c r="H69" s="6"/>
      <c r="I69" s="6">
        <f>+SUM(H66:H68)</f>
        <v>0</v>
      </c>
    </row>
    <row r="70" spans="2:9" x14ac:dyDescent="0.25">
      <c r="B70" s="10"/>
      <c r="C70" s="10"/>
      <c r="D70" s="10"/>
      <c r="E70" s="10"/>
      <c r="F70" s="10"/>
      <c r="G70" s="10"/>
      <c r="H70" s="10"/>
      <c r="I70" s="10"/>
    </row>
    <row r="71" spans="2:9" ht="15.75" x14ac:dyDescent="0.25">
      <c r="B71" s="3" t="s">
        <v>0</v>
      </c>
      <c r="C71" s="3" t="str">
        <f>+$B$2</f>
        <v>10.</v>
      </c>
      <c r="D71" s="4" t="str">
        <f>+$B$41</f>
        <v>2.</v>
      </c>
      <c r="E71" s="5">
        <f>+E64+1</f>
        <v>5</v>
      </c>
      <c r="F71" s="76"/>
      <c r="G71" s="77"/>
      <c r="H71" s="1" t="s">
        <v>1</v>
      </c>
      <c r="I71" s="1"/>
    </row>
    <row r="72" spans="2:9" ht="15.75" x14ac:dyDescent="0.25">
      <c r="B72" s="73" t="s">
        <v>2</v>
      </c>
      <c r="C72" s="74"/>
      <c r="D72" s="74"/>
      <c r="E72" s="74"/>
      <c r="F72" s="1" t="s">
        <v>3</v>
      </c>
      <c r="G72" s="1" t="s">
        <v>4</v>
      </c>
      <c r="H72" s="1" t="s">
        <v>5</v>
      </c>
      <c r="I72" s="1" t="s">
        <v>6</v>
      </c>
    </row>
    <row r="73" spans="2:9" ht="15.75" x14ac:dyDescent="0.25">
      <c r="B73" s="73"/>
      <c r="C73" s="73"/>
      <c r="D73" s="73"/>
      <c r="E73" s="73"/>
      <c r="F73" s="1"/>
      <c r="G73" s="1"/>
      <c r="H73" s="1"/>
      <c r="I73" s="1"/>
    </row>
    <row r="74" spans="2:9" ht="15.75" x14ac:dyDescent="0.25">
      <c r="B74" s="73"/>
      <c r="C74" s="73"/>
      <c r="D74" s="73"/>
      <c r="E74" s="73"/>
      <c r="F74" s="1"/>
      <c r="G74" s="1"/>
      <c r="H74" s="1"/>
      <c r="I74" s="1"/>
    </row>
    <row r="75" spans="2:9" ht="15.75" x14ac:dyDescent="0.25">
      <c r="B75" s="75"/>
      <c r="C75" s="75"/>
      <c r="D75" s="75"/>
      <c r="E75" s="75"/>
      <c r="F75" s="7"/>
      <c r="G75" s="8"/>
      <c r="H75" s="8"/>
      <c r="I75" s="1"/>
    </row>
    <row r="76" spans="2:9" ht="15.75" x14ac:dyDescent="0.25">
      <c r="B76" s="71"/>
      <c r="C76" s="72"/>
      <c r="D76" s="72"/>
      <c r="E76" s="72"/>
      <c r="F76" s="4" t="s">
        <v>7</v>
      </c>
      <c r="G76" s="4"/>
      <c r="H76" s="6"/>
      <c r="I76" s="6">
        <f>+SUM(H73:H75)</f>
        <v>0</v>
      </c>
    </row>
    <row r="77" spans="2:9" x14ac:dyDescent="0.25">
      <c r="B77" s="10"/>
      <c r="C77" s="10"/>
      <c r="D77" s="10"/>
      <c r="E77" s="10"/>
      <c r="F77" s="10"/>
      <c r="G77" s="10"/>
      <c r="H77" s="10"/>
      <c r="I77" s="10"/>
    </row>
    <row r="78" spans="2:9" ht="15.75" x14ac:dyDescent="0.25">
      <c r="B78" s="11" t="s">
        <v>11</v>
      </c>
      <c r="C78" s="76" t="s">
        <v>13</v>
      </c>
      <c r="D78" s="78"/>
      <c r="E78" s="78"/>
      <c r="F78" s="78"/>
      <c r="G78" s="78"/>
      <c r="H78" s="78"/>
      <c r="I78" s="77"/>
    </row>
    <row r="79" spans="2:9" x14ac:dyDescent="0.25">
      <c r="B79" s="10"/>
      <c r="C79" s="10"/>
      <c r="D79" s="10"/>
      <c r="E79" s="10"/>
      <c r="F79" s="10"/>
      <c r="G79" s="10"/>
      <c r="H79" s="10"/>
      <c r="I79" s="10"/>
    </row>
    <row r="80" spans="2:9" ht="15.75" x14ac:dyDescent="0.25">
      <c r="B80" s="3" t="s">
        <v>0</v>
      </c>
      <c r="C80" s="3" t="str">
        <f>+$B$2</f>
        <v>10.</v>
      </c>
      <c r="D80" s="4" t="str">
        <f>+$B$78</f>
        <v>3.</v>
      </c>
      <c r="E80" s="5">
        <v>1</v>
      </c>
      <c r="F80" s="76"/>
      <c r="G80" s="77"/>
      <c r="H80" s="1" t="s">
        <v>1</v>
      </c>
      <c r="I80" s="1"/>
    </row>
    <row r="81" spans="2:9" ht="15.75" x14ac:dyDescent="0.25">
      <c r="B81" s="73" t="s">
        <v>2</v>
      </c>
      <c r="C81" s="74"/>
      <c r="D81" s="74"/>
      <c r="E81" s="74"/>
      <c r="F81" s="1" t="s">
        <v>3</v>
      </c>
      <c r="G81" s="1" t="s">
        <v>4</v>
      </c>
      <c r="H81" s="1" t="s">
        <v>5</v>
      </c>
      <c r="I81" s="1" t="s">
        <v>6</v>
      </c>
    </row>
    <row r="82" spans="2:9" ht="15.75" x14ac:dyDescent="0.25">
      <c r="B82" s="73"/>
      <c r="C82" s="73"/>
      <c r="D82" s="73"/>
      <c r="E82" s="73"/>
      <c r="F82" s="1"/>
      <c r="G82" s="1"/>
      <c r="H82" s="1"/>
      <c r="I82" s="1"/>
    </row>
    <row r="83" spans="2:9" ht="15.75" x14ac:dyDescent="0.25">
      <c r="B83" s="73"/>
      <c r="C83" s="73"/>
      <c r="D83" s="73"/>
      <c r="E83" s="73"/>
      <c r="F83" s="1"/>
      <c r="G83" s="1"/>
      <c r="H83" s="1"/>
      <c r="I83" s="1"/>
    </row>
    <row r="84" spans="2:9" ht="15.75" x14ac:dyDescent="0.25">
      <c r="B84" s="75"/>
      <c r="C84" s="75"/>
      <c r="D84" s="75"/>
      <c r="E84" s="75"/>
      <c r="F84" s="7"/>
      <c r="G84" s="8"/>
      <c r="H84" s="8"/>
      <c r="I84" s="1"/>
    </row>
    <row r="85" spans="2:9" ht="15.75" x14ac:dyDescent="0.25">
      <c r="B85" s="71"/>
      <c r="C85" s="72"/>
      <c r="D85" s="72"/>
      <c r="E85" s="72"/>
      <c r="F85" s="4" t="s">
        <v>7</v>
      </c>
      <c r="G85" s="4"/>
      <c r="H85" s="6"/>
      <c r="I85" s="6">
        <f>+SUM(H82:H84)</f>
        <v>0</v>
      </c>
    </row>
    <row r="86" spans="2:9" x14ac:dyDescent="0.25">
      <c r="B86" s="10"/>
      <c r="C86" s="10"/>
      <c r="D86" s="10"/>
      <c r="E86" s="10"/>
      <c r="F86" s="10"/>
      <c r="G86" s="10"/>
      <c r="H86" s="10"/>
      <c r="I86" s="10"/>
    </row>
    <row r="87" spans="2:9" ht="15.75" x14ac:dyDescent="0.25">
      <c r="B87" s="3" t="s">
        <v>0</v>
      </c>
      <c r="C87" s="3" t="str">
        <f>+$B$2</f>
        <v>10.</v>
      </c>
      <c r="D87" s="4" t="str">
        <f>+$B$78</f>
        <v>3.</v>
      </c>
      <c r="E87" s="5">
        <f>+E80+1</f>
        <v>2</v>
      </c>
      <c r="F87" s="76"/>
      <c r="G87" s="77"/>
      <c r="H87" s="1" t="s">
        <v>1</v>
      </c>
      <c r="I87" s="1"/>
    </row>
    <row r="88" spans="2:9" ht="15.75" x14ac:dyDescent="0.25">
      <c r="B88" s="73" t="s">
        <v>2</v>
      </c>
      <c r="C88" s="74"/>
      <c r="D88" s="74"/>
      <c r="E88" s="74"/>
      <c r="F88" s="1" t="s">
        <v>3</v>
      </c>
      <c r="G88" s="1" t="s">
        <v>4</v>
      </c>
      <c r="H88" s="1" t="s">
        <v>5</v>
      </c>
      <c r="I88" s="1" t="s">
        <v>6</v>
      </c>
    </row>
    <row r="89" spans="2:9" ht="15.75" x14ac:dyDescent="0.25">
      <c r="B89" s="73"/>
      <c r="C89" s="73"/>
      <c r="D89" s="73"/>
      <c r="E89" s="73"/>
      <c r="F89" s="1"/>
      <c r="G89" s="1"/>
      <c r="H89" s="1"/>
      <c r="I89" s="1"/>
    </row>
    <row r="90" spans="2:9" ht="15.75" x14ac:dyDescent="0.25">
      <c r="B90" s="73"/>
      <c r="C90" s="73"/>
      <c r="D90" s="73"/>
      <c r="E90" s="73"/>
      <c r="F90" s="1"/>
      <c r="G90" s="1"/>
      <c r="H90" s="1"/>
      <c r="I90" s="1"/>
    </row>
    <row r="91" spans="2:9" ht="15.75" x14ac:dyDescent="0.25">
      <c r="B91" s="75"/>
      <c r="C91" s="75"/>
      <c r="D91" s="75"/>
      <c r="E91" s="75"/>
      <c r="F91" s="7"/>
      <c r="G91" s="8"/>
      <c r="H91" s="8"/>
      <c r="I91" s="1"/>
    </row>
    <row r="92" spans="2:9" ht="15.75" x14ac:dyDescent="0.25">
      <c r="B92" s="71"/>
      <c r="C92" s="72"/>
      <c r="D92" s="72"/>
      <c r="E92" s="72"/>
      <c r="F92" s="4" t="s">
        <v>7</v>
      </c>
      <c r="G92" s="4"/>
      <c r="H92" s="6"/>
      <c r="I92" s="6">
        <f>+SUM(H89:H91)</f>
        <v>0</v>
      </c>
    </row>
    <row r="93" spans="2:9" x14ac:dyDescent="0.25">
      <c r="B93" s="10"/>
      <c r="C93" s="10"/>
      <c r="D93" s="10"/>
      <c r="E93" s="10"/>
      <c r="F93" s="10"/>
      <c r="G93" s="10"/>
      <c r="H93" s="10"/>
      <c r="I93" s="10"/>
    </row>
    <row r="94" spans="2:9" ht="15.75" x14ac:dyDescent="0.25">
      <c r="B94" s="3" t="s">
        <v>0</v>
      </c>
      <c r="C94" s="3" t="str">
        <f>+$B$2</f>
        <v>10.</v>
      </c>
      <c r="D94" s="4" t="str">
        <f>+$B$78</f>
        <v>3.</v>
      </c>
      <c r="E94" s="5">
        <f>+E87+1</f>
        <v>3</v>
      </c>
      <c r="F94" s="76"/>
      <c r="G94" s="77"/>
      <c r="H94" s="1" t="s">
        <v>1</v>
      </c>
      <c r="I94" s="1"/>
    </row>
    <row r="95" spans="2:9" ht="15.75" x14ac:dyDescent="0.25">
      <c r="B95" s="73" t="s">
        <v>2</v>
      </c>
      <c r="C95" s="74"/>
      <c r="D95" s="74"/>
      <c r="E95" s="74"/>
      <c r="F95" s="1" t="s">
        <v>3</v>
      </c>
      <c r="G95" s="1" t="s">
        <v>4</v>
      </c>
      <c r="H95" s="1" t="s">
        <v>5</v>
      </c>
      <c r="I95" s="1" t="s">
        <v>6</v>
      </c>
    </row>
    <row r="96" spans="2:9" ht="15.75" x14ac:dyDescent="0.25">
      <c r="B96" s="73"/>
      <c r="C96" s="73"/>
      <c r="D96" s="73"/>
      <c r="E96" s="73"/>
      <c r="F96" s="1"/>
      <c r="G96" s="1"/>
      <c r="H96" s="1"/>
      <c r="I96" s="1"/>
    </row>
    <row r="97" spans="2:9" ht="15.75" x14ac:dyDescent="0.25">
      <c r="B97" s="73"/>
      <c r="C97" s="73"/>
      <c r="D97" s="73"/>
      <c r="E97" s="73"/>
      <c r="F97" s="1"/>
      <c r="G97" s="1"/>
      <c r="H97" s="1"/>
      <c r="I97" s="1"/>
    </row>
    <row r="98" spans="2:9" ht="15.75" x14ac:dyDescent="0.25">
      <c r="B98" s="75"/>
      <c r="C98" s="75"/>
      <c r="D98" s="75"/>
      <c r="E98" s="75"/>
      <c r="F98" s="7"/>
      <c r="G98" s="8"/>
      <c r="H98" s="8"/>
      <c r="I98" s="1"/>
    </row>
    <row r="99" spans="2:9" ht="15.75" x14ac:dyDescent="0.25">
      <c r="B99" s="71"/>
      <c r="C99" s="72"/>
      <c r="D99" s="72"/>
      <c r="E99" s="72"/>
      <c r="F99" s="4" t="s">
        <v>7</v>
      </c>
      <c r="G99" s="4"/>
      <c r="H99" s="6"/>
      <c r="I99" s="6">
        <f>+SUM(H96:H98)</f>
        <v>0</v>
      </c>
    </row>
    <row r="100" spans="2:9" x14ac:dyDescent="0.25">
      <c r="B100" s="10"/>
      <c r="C100" s="10"/>
      <c r="D100" s="10"/>
      <c r="E100" s="10"/>
      <c r="F100" s="10"/>
      <c r="G100" s="10"/>
      <c r="H100" s="10"/>
      <c r="I100" s="10"/>
    </row>
    <row r="101" spans="2:9" ht="15.75" x14ac:dyDescent="0.25">
      <c r="B101" s="3" t="s">
        <v>0</v>
      </c>
      <c r="C101" s="3" t="str">
        <f>+$B$2</f>
        <v>10.</v>
      </c>
      <c r="D101" s="4" t="str">
        <f>+$B$78</f>
        <v>3.</v>
      </c>
      <c r="E101" s="5">
        <f>+E94+1</f>
        <v>4</v>
      </c>
      <c r="F101" s="76"/>
      <c r="G101" s="77"/>
      <c r="H101" s="1" t="s">
        <v>1</v>
      </c>
      <c r="I101" s="1"/>
    </row>
    <row r="102" spans="2:9" ht="15.75" x14ac:dyDescent="0.25">
      <c r="B102" s="73" t="s">
        <v>2</v>
      </c>
      <c r="C102" s="74"/>
      <c r="D102" s="74"/>
      <c r="E102" s="74"/>
      <c r="F102" s="1" t="s">
        <v>3</v>
      </c>
      <c r="G102" s="1" t="s">
        <v>4</v>
      </c>
      <c r="H102" s="1" t="s">
        <v>5</v>
      </c>
      <c r="I102" s="1" t="s">
        <v>6</v>
      </c>
    </row>
    <row r="103" spans="2:9" ht="15.75" x14ac:dyDescent="0.25">
      <c r="B103" s="73"/>
      <c r="C103" s="73"/>
      <c r="D103" s="73"/>
      <c r="E103" s="73"/>
      <c r="F103" s="1"/>
      <c r="G103" s="1"/>
      <c r="H103" s="1"/>
      <c r="I103" s="1"/>
    </row>
    <row r="104" spans="2:9" ht="15.75" x14ac:dyDescent="0.25">
      <c r="B104" s="73"/>
      <c r="C104" s="73"/>
      <c r="D104" s="73"/>
      <c r="E104" s="73"/>
      <c r="F104" s="1"/>
      <c r="G104" s="1"/>
      <c r="H104" s="1"/>
      <c r="I104" s="1"/>
    </row>
    <row r="105" spans="2:9" ht="15.75" x14ac:dyDescent="0.25">
      <c r="B105" s="75"/>
      <c r="C105" s="75"/>
      <c r="D105" s="75"/>
      <c r="E105" s="75"/>
      <c r="F105" s="7"/>
      <c r="G105" s="8"/>
      <c r="H105" s="8"/>
      <c r="I105" s="1"/>
    </row>
    <row r="106" spans="2:9" ht="15.75" x14ac:dyDescent="0.25">
      <c r="B106" s="71"/>
      <c r="C106" s="72"/>
      <c r="D106" s="72"/>
      <c r="E106" s="72"/>
      <c r="F106" s="4" t="s">
        <v>7</v>
      </c>
      <c r="G106" s="4"/>
      <c r="H106" s="6"/>
      <c r="I106" s="6">
        <f>+SUM(H103:H105)</f>
        <v>0</v>
      </c>
    </row>
    <row r="107" spans="2:9" x14ac:dyDescent="0.25">
      <c r="B107" s="10"/>
      <c r="C107" s="10"/>
      <c r="D107" s="10"/>
      <c r="E107" s="10"/>
      <c r="F107" s="10"/>
      <c r="G107" s="10"/>
      <c r="H107" s="10"/>
      <c r="I107" s="10"/>
    </row>
    <row r="108" spans="2:9" ht="15.75" x14ac:dyDescent="0.25">
      <c r="B108" s="3" t="s">
        <v>0</v>
      </c>
      <c r="C108" s="3" t="str">
        <f>+$B$2</f>
        <v>10.</v>
      </c>
      <c r="D108" s="4" t="str">
        <f>+$B$78</f>
        <v>3.</v>
      </c>
      <c r="E108" s="5">
        <f>+E101+1</f>
        <v>5</v>
      </c>
      <c r="F108" s="76"/>
      <c r="G108" s="77"/>
      <c r="H108" s="1" t="s">
        <v>1</v>
      </c>
      <c r="I108" s="1"/>
    </row>
    <row r="109" spans="2:9" ht="15.75" x14ac:dyDescent="0.25">
      <c r="B109" s="73" t="s">
        <v>2</v>
      </c>
      <c r="C109" s="74"/>
      <c r="D109" s="74"/>
      <c r="E109" s="74"/>
      <c r="F109" s="1" t="s">
        <v>3</v>
      </c>
      <c r="G109" s="1" t="s">
        <v>4</v>
      </c>
      <c r="H109" s="1" t="s">
        <v>5</v>
      </c>
      <c r="I109" s="1" t="s">
        <v>6</v>
      </c>
    </row>
    <row r="110" spans="2:9" ht="15.75" x14ac:dyDescent="0.25">
      <c r="B110" s="73"/>
      <c r="C110" s="73"/>
      <c r="D110" s="73"/>
      <c r="E110" s="73"/>
      <c r="F110" s="1"/>
      <c r="G110" s="1"/>
      <c r="H110" s="1"/>
      <c r="I110" s="1"/>
    </row>
    <row r="111" spans="2:9" ht="15.75" x14ac:dyDescent="0.25">
      <c r="B111" s="73"/>
      <c r="C111" s="73"/>
      <c r="D111" s="73"/>
      <c r="E111" s="73"/>
      <c r="F111" s="1"/>
      <c r="G111" s="1"/>
      <c r="H111" s="1"/>
      <c r="I111" s="1"/>
    </row>
    <row r="112" spans="2:9" ht="15.75" x14ac:dyDescent="0.25">
      <c r="B112" s="75"/>
      <c r="C112" s="75"/>
      <c r="D112" s="75"/>
      <c r="E112" s="75"/>
      <c r="F112" s="7"/>
      <c r="G112" s="8"/>
      <c r="H112" s="8"/>
      <c r="I112" s="1"/>
    </row>
    <row r="113" spans="2:9" ht="15.75" x14ac:dyDescent="0.25">
      <c r="B113" s="71"/>
      <c r="C113" s="72"/>
      <c r="D113" s="72"/>
      <c r="E113" s="72"/>
      <c r="F113" s="4" t="s">
        <v>7</v>
      </c>
      <c r="G113" s="4"/>
      <c r="H113" s="6"/>
      <c r="I113" s="6">
        <f>+SUM(H110:H112)</f>
        <v>0</v>
      </c>
    </row>
  </sheetData>
  <mergeCells count="94">
    <mergeCell ref="B38:E38"/>
    <mergeCell ref="B39:E39"/>
    <mergeCell ref="B110:E110"/>
    <mergeCell ref="B111:E111"/>
    <mergeCell ref="B112:E112"/>
    <mergeCell ref="B89:E89"/>
    <mergeCell ref="B90:E90"/>
    <mergeCell ref="B91:E91"/>
    <mergeCell ref="B92:E92"/>
    <mergeCell ref="B74:E74"/>
    <mergeCell ref="B75:E75"/>
    <mergeCell ref="B76:E76"/>
    <mergeCell ref="C78:I78"/>
    <mergeCell ref="F80:G80"/>
    <mergeCell ref="B81:E81"/>
    <mergeCell ref="B67:E67"/>
    <mergeCell ref="B113:E113"/>
    <mergeCell ref="B103:E103"/>
    <mergeCell ref="B104:E104"/>
    <mergeCell ref="B105:E105"/>
    <mergeCell ref="B106:E106"/>
    <mergeCell ref="F108:G108"/>
    <mergeCell ref="B109:E109"/>
    <mergeCell ref="B96:E96"/>
    <mergeCell ref="B97:E97"/>
    <mergeCell ref="B98:E98"/>
    <mergeCell ref="B99:E99"/>
    <mergeCell ref="F101:G101"/>
    <mergeCell ref="B102:E102"/>
    <mergeCell ref="F94:G94"/>
    <mergeCell ref="B95:E95"/>
    <mergeCell ref="B82:E82"/>
    <mergeCell ref="B83:E83"/>
    <mergeCell ref="B84:E84"/>
    <mergeCell ref="B85:E85"/>
    <mergeCell ref="F87:G87"/>
    <mergeCell ref="B88:E88"/>
    <mergeCell ref="B68:E68"/>
    <mergeCell ref="B69:E69"/>
    <mergeCell ref="F71:G71"/>
    <mergeCell ref="B72:E72"/>
    <mergeCell ref="B73:E73"/>
    <mergeCell ref="B66:E66"/>
    <mergeCell ref="B53:E53"/>
    <mergeCell ref="B54:E54"/>
    <mergeCell ref="B55:E55"/>
    <mergeCell ref="F57:G57"/>
    <mergeCell ref="B58:E58"/>
    <mergeCell ref="B59:E59"/>
    <mergeCell ref="B60:E60"/>
    <mergeCell ref="B61:E61"/>
    <mergeCell ref="B62:E62"/>
    <mergeCell ref="F64:G64"/>
    <mergeCell ref="B65:E65"/>
    <mergeCell ref="B52:E52"/>
    <mergeCell ref="B31:E31"/>
    <mergeCell ref="B32:E32"/>
    <mergeCell ref="C41:I41"/>
    <mergeCell ref="F43:G43"/>
    <mergeCell ref="B44:E44"/>
    <mergeCell ref="B45:E45"/>
    <mergeCell ref="F34:G34"/>
    <mergeCell ref="B35:E35"/>
    <mergeCell ref="B36:E36"/>
    <mergeCell ref="B37:E37"/>
    <mergeCell ref="B46:E46"/>
    <mergeCell ref="B47:E47"/>
    <mergeCell ref="B48:E48"/>
    <mergeCell ref="F50:G50"/>
    <mergeCell ref="B51:E51"/>
    <mergeCell ref="B30:E30"/>
    <mergeCell ref="B17:E17"/>
    <mergeCell ref="B18:E18"/>
    <mergeCell ref="F20:G20"/>
    <mergeCell ref="B21:E21"/>
    <mergeCell ref="B22:E22"/>
    <mergeCell ref="B23:E23"/>
    <mergeCell ref="B24:E24"/>
    <mergeCell ref="B25:E25"/>
    <mergeCell ref="F27:G27"/>
    <mergeCell ref="B28:E28"/>
    <mergeCell ref="B29:E29"/>
    <mergeCell ref="B16:E16"/>
    <mergeCell ref="C2:I2"/>
    <mergeCell ref="C4:I4"/>
    <mergeCell ref="F6:G6"/>
    <mergeCell ref="B7:E7"/>
    <mergeCell ref="B8:E8"/>
    <mergeCell ref="B9:E9"/>
    <mergeCell ref="B10:E10"/>
    <mergeCell ref="B11:E11"/>
    <mergeCell ref="F13:G13"/>
    <mergeCell ref="B14:E14"/>
    <mergeCell ref="B15:E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1:H435"/>
  <sheetViews>
    <sheetView workbookViewId="0">
      <selection activeCell="D4" sqref="D4:E4"/>
    </sheetView>
  </sheetViews>
  <sheetFormatPr baseColWidth="10" defaultColWidth="9.140625" defaultRowHeight="15" customHeight="1" x14ac:dyDescent="0.25"/>
  <cols>
    <col min="1" max="1" width="0.28515625" style="66" customWidth="1"/>
    <col min="2" max="2" width="13.42578125" style="66" customWidth="1"/>
    <col min="3" max="3" width="0.28515625" style="66" customWidth="1"/>
    <col min="4" max="4" width="36.85546875" style="66" customWidth="1"/>
    <col min="5" max="5" width="8.42578125" style="66" customWidth="1"/>
    <col min="6" max="6" width="13.140625" style="66" customWidth="1"/>
    <col min="7" max="7" width="12.5703125" style="66" customWidth="1"/>
    <col min="8" max="8" width="13" style="66" customWidth="1"/>
    <col min="9" max="16384" width="9.140625" style="66"/>
  </cols>
  <sheetData>
    <row r="1" spans="1:8" ht="15" customHeight="1" x14ac:dyDescent="0.25">
      <c r="A1" s="65"/>
      <c r="B1" s="65"/>
      <c r="C1" s="65"/>
      <c r="D1" s="91"/>
      <c r="E1" s="91"/>
      <c r="F1" s="89" t="s">
        <v>184</v>
      </c>
      <c r="G1" s="90"/>
      <c r="H1" s="90"/>
    </row>
    <row r="2" spans="1:8" ht="15" customHeight="1" x14ac:dyDescent="0.25">
      <c r="A2" s="92"/>
      <c r="B2" s="53"/>
      <c r="C2" s="92"/>
      <c r="D2" s="91"/>
      <c r="E2" s="91"/>
      <c r="F2" s="89"/>
      <c r="G2" s="90"/>
      <c r="H2" s="90"/>
    </row>
    <row r="3" spans="1:8" ht="15" customHeight="1" x14ac:dyDescent="0.25">
      <c r="A3" s="92"/>
      <c r="B3" s="53"/>
      <c r="C3" s="92"/>
      <c r="D3" s="93"/>
      <c r="E3" s="93"/>
      <c r="F3" s="64" t="s">
        <v>185</v>
      </c>
      <c r="G3" s="94"/>
      <c r="H3" s="94"/>
    </row>
    <row r="4" spans="1:8" ht="15" customHeight="1" x14ac:dyDescent="0.25">
      <c r="A4" s="92"/>
      <c r="B4" s="53"/>
      <c r="C4" s="92"/>
      <c r="D4" s="87"/>
      <c r="E4" s="87"/>
      <c r="F4" s="64" t="s">
        <v>186</v>
      </c>
      <c r="G4" s="86">
        <v>44294</v>
      </c>
      <c r="H4" s="86"/>
    </row>
    <row r="5" spans="1:8" ht="15" customHeight="1" x14ac:dyDescent="0.25">
      <c r="A5" s="92"/>
      <c r="B5" s="53"/>
      <c r="C5" s="92"/>
      <c r="D5" s="87"/>
      <c r="E5" s="87"/>
      <c r="F5" s="64" t="s">
        <v>187</v>
      </c>
      <c r="G5" s="88" t="s">
        <v>411</v>
      </c>
      <c r="H5" s="88"/>
    </row>
    <row r="6" spans="1:8" ht="15" customHeight="1" x14ac:dyDescent="0.25">
      <c r="A6" s="92"/>
      <c r="B6" s="53"/>
      <c r="C6" s="92"/>
      <c r="D6" s="83"/>
      <c r="E6" s="83"/>
      <c r="F6" s="89"/>
      <c r="G6" s="89"/>
      <c r="H6" s="89"/>
    </row>
    <row r="7" spans="1:8" ht="15" customHeight="1" x14ac:dyDescent="0.25">
      <c r="A7" s="65"/>
      <c r="B7" s="65"/>
      <c r="C7" s="65"/>
      <c r="D7" s="83"/>
      <c r="E7" s="83"/>
      <c r="F7" s="89"/>
      <c r="G7" s="89"/>
      <c r="H7" s="89"/>
    </row>
    <row r="8" spans="1:8" ht="15" customHeight="1" x14ac:dyDescent="0.25">
      <c r="A8" s="90" t="s">
        <v>188</v>
      </c>
      <c r="B8" s="90"/>
      <c r="C8" s="90"/>
      <c r="D8" s="90"/>
      <c r="E8" s="90"/>
      <c r="F8" s="90"/>
      <c r="G8" s="90"/>
      <c r="H8" s="90"/>
    </row>
    <row r="9" spans="1:8" ht="15" customHeight="1" x14ac:dyDescent="0.25">
      <c r="A9" s="82" t="s">
        <v>189</v>
      </c>
      <c r="B9" s="82"/>
      <c r="C9" s="82"/>
      <c r="D9" s="82"/>
      <c r="E9" s="82"/>
      <c r="F9" s="82"/>
      <c r="G9" s="82"/>
      <c r="H9" s="82"/>
    </row>
    <row r="10" spans="1:8" ht="15" customHeight="1" x14ac:dyDescent="0.25">
      <c r="A10" s="83" t="s">
        <v>245</v>
      </c>
      <c r="B10" s="83"/>
      <c r="C10" s="83"/>
      <c r="D10" s="83" t="s">
        <v>178</v>
      </c>
      <c r="E10" s="83"/>
      <c r="F10" s="83"/>
      <c r="G10" s="83"/>
      <c r="H10" s="54" t="s">
        <v>54</v>
      </c>
    </row>
    <row r="11" spans="1:8" ht="15" customHeight="1" x14ac:dyDescent="0.25">
      <c r="A11" s="84" t="s">
        <v>190</v>
      </c>
      <c r="B11" s="84"/>
      <c r="C11" s="84"/>
      <c r="D11" s="62" t="s">
        <v>57</v>
      </c>
      <c r="E11" s="62" t="s">
        <v>191</v>
      </c>
      <c r="F11" s="62" t="s">
        <v>192</v>
      </c>
      <c r="G11" s="62" t="s">
        <v>193</v>
      </c>
      <c r="H11" s="62" t="s">
        <v>194</v>
      </c>
    </row>
    <row r="12" spans="1:8" ht="15" customHeight="1" x14ac:dyDescent="0.25">
      <c r="A12" s="85"/>
      <c r="B12" s="85"/>
      <c r="C12" s="85"/>
      <c r="D12" s="63" t="s">
        <v>201</v>
      </c>
      <c r="E12" s="53"/>
      <c r="F12" s="53"/>
      <c r="G12" s="53"/>
      <c r="H12" s="53"/>
    </row>
    <row r="13" spans="1:8" ht="15" customHeight="1" x14ac:dyDescent="0.25">
      <c r="A13" s="83" t="s">
        <v>246</v>
      </c>
      <c r="B13" s="83"/>
      <c r="C13" s="83"/>
      <c r="D13" s="61" t="s">
        <v>247</v>
      </c>
      <c r="E13" s="54" t="s">
        <v>54</v>
      </c>
      <c r="F13" s="55">
        <v>1</v>
      </c>
      <c r="G13" s="56">
        <v>990</v>
      </c>
      <c r="H13" s="56">
        <v>990</v>
      </c>
    </row>
    <row r="14" spans="1:8" ht="15" customHeight="1" x14ac:dyDescent="0.25">
      <c r="A14" s="85"/>
      <c r="B14" s="85"/>
      <c r="C14" s="85"/>
      <c r="D14" s="57" t="s">
        <v>202</v>
      </c>
      <c r="E14" s="58"/>
      <c r="F14" s="58"/>
      <c r="G14" s="58"/>
      <c r="H14" s="59">
        <v>990</v>
      </c>
    </row>
    <row r="15" spans="1:8" ht="15" customHeight="1" x14ac:dyDescent="0.25">
      <c r="A15" s="85"/>
      <c r="B15" s="85"/>
      <c r="C15" s="85"/>
      <c r="D15" s="63" t="s">
        <v>7</v>
      </c>
      <c r="E15" s="60"/>
      <c r="F15" s="60"/>
      <c r="G15" s="60"/>
      <c r="H15" s="59">
        <v>990</v>
      </c>
    </row>
    <row r="16" spans="1:8" ht="15" customHeight="1" x14ac:dyDescent="0.25">
      <c r="A16" s="53"/>
      <c r="B16" s="53"/>
      <c r="C16" s="53"/>
      <c r="D16" s="53"/>
      <c r="E16" s="53"/>
      <c r="F16" s="53"/>
      <c r="G16" s="53"/>
      <c r="H16" s="53"/>
    </row>
    <row r="17" spans="1:8" ht="15" customHeight="1" x14ac:dyDescent="0.25">
      <c r="A17" s="53"/>
      <c r="B17" s="53"/>
      <c r="C17" s="53"/>
      <c r="D17" s="53"/>
      <c r="E17" s="53"/>
      <c r="F17" s="53"/>
      <c r="G17" s="53"/>
      <c r="H17" s="53"/>
    </row>
    <row r="18" spans="1:8" ht="15" customHeight="1" x14ac:dyDescent="0.25">
      <c r="A18" s="95"/>
      <c r="B18" s="95"/>
      <c r="C18" s="95"/>
      <c r="D18" s="95"/>
      <c r="E18" s="95"/>
      <c r="F18" s="95" t="s">
        <v>198</v>
      </c>
      <c r="G18" s="95"/>
      <c r="H18" s="95"/>
    </row>
    <row r="19" spans="1:8" ht="15" customHeight="1" x14ac:dyDescent="0.25">
      <c r="A19" s="65"/>
      <c r="B19" s="65"/>
      <c r="C19" s="65"/>
      <c r="D19" s="91"/>
      <c r="E19" s="91"/>
      <c r="F19" s="89" t="s">
        <v>184</v>
      </c>
      <c r="G19" s="90"/>
      <c r="H19" s="90"/>
    </row>
    <row r="20" spans="1:8" ht="15" customHeight="1" x14ac:dyDescent="0.25">
      <c r="A20" s="92"/>
      <c r="B20" s="53"/>
      <c r="C20" s="92"/>
      <c r="D20" s="91"/>
      <c r="E20" s="91"/>
      <c r="F20" s="89"/>
      <c r="G20" s="90"/>
      <c r="H20" s="90"/>
    </row>
    <row r="21" spans="1:8" ht="15" customHeight="1" x14ac:dyDescent="0.25">
      <c r="A21" s="92"/>
      <c r="B21" s="53"/>
      <c r="C21" s="92"/>
      <c r="D21" s="93"/>
      <c r="E21" s="93"/>
      <c r="F21" s="64" t="s">
        <v>185</v>
      </c>
      <c r="G21" s="94"/>
      <c r="H21" s="94"/>
    </row>
    <row r="22" spans="1:8" ht="15" customHeight="1" x14ac:dyDescent="0.25">
      <c r="A22" s="92"/>
      <c r="B22" s="53"/>
      <c r="C22" s="92"/>
      <c r="D22" s="87"/>
      <c r="E22" s="87"/>
      <c r="F22" s="64" t="s">
        <v>186</v>
      </c>
      <c r="G22" s="86">
        <v>44294</v>
      </c>
      <c r="H22" s="86"/>
    </row>
    <row r="23" spans="1:8" ht="15" customHeight="1" x14ac:dyDescent="0.25">
      <c r="A23" s="92"/>
      <c r="B23" s="53"/>
      <c r="C23" s="92"/>
      <c r="D23" s="87"/>
      <c r="E23" s="87"/>
      <c r="F23" s="64" t="s">
        <v>187</v>
      </c>
      <c r="G23" s="88" t="s">
        <v>412</v>
      </c>
      <c r="H23" s="88"/>
    </row>
    <row r="24" spans="1:8" ht="15" customHeight="1" x14ac:dyDescent="0.25">
      <c r="A24" s="92"/>
      <c r="B24" s="53"/>
      <c r="C24" s="92"/>
      <c r="D24" s="83"/>
      <c r="E24" s="83"/>
      <c r="F24" s="89"/>
      <c r="G24" s="89"/>
      <c r="H24" s="89"/>
    </row>
    <row r="25" spans="1:8" ht="15" customHeight="1" x14ac:dyDescent="0.25">
      <c r="A25" s="65"/>
      <c r="B25" s="65"/>
      <c r="C25" s="65"/>
      <c r="D25" s="83"/>
      <c r="E25" s="83"/>
      <c r="F25" s="89"/>
      <c r="G25" s="89"/>
      <c r="H25" s="89"/>
    </row>
    <row r="26" spans="1:8" ht="15" customHeight="1" x14ac:dyDescent="0.25">
      <c r="A26" s="90" t="s">
        <v>188</v>
      </c>
      <c r="B26" s="90"/>
      <c r="C26" s="90"/>
      <c r="D26" s="90"/>
      <c r="E26" s="90"/>
      <c r="F26" s="90"/>
      <c r="G26" s="90"/>
      <c r="H26" s="90"/>
    </row>
    <row r="27" spans="1:8" ht="15" customHeight="1" x14ac:dyDescent="0.25">
      <c r="A27" s="82" t="s">
        <v>189</v>
      </c>
      <c r="B27" s="82"/>
      <c r="C27" s="82"/>
      <c r="D27" s="82"/>
      <c r="E27" s="82"/>
      <c r="F27" s="82"/>
      <c r="G27" s="82"/>
      <c r="H27" s="82"/>
    </row>
    <row r="28" spans="1:8" ht="15" customHeight="1" x14ac:dyDescent="0.25">
      <c r="A28" s="83" t="s">
        <v>248</v>
      </c>
      <c r="B28" s="83"/>
      <c r="C28" s="83"/>
      <c r="D28" s="83" t="s">
        <v>249</v>
      </c>
      <c r="E28" s="83"/>
      <c r="F28" s="83"/>
      <c r="G28" s="83"/>
      <c r="H28" s="54" t="s">
        <v>52</v>
      </c>
    </row>
    <row r="29" spans="1:8" ht="15" customHeight="1" x14ac:dyDescent="0.25">
      <c r="A29" s="84" t="s">
        <v>190</v>
      </c>
      <c r="B29" s="84"/>
      <c r="C29" s="84"/>
      <c r="D29" s="62" t="s">
        <v>57</v>
      </c>
      <c r="E29" s="62" t="s">
        <v>191</v>
      </c>
      <c r="F29" s="62" t="s">
        <v>192</v>
      </c>
      <c r="G29" s="62" t="s">
        <v>193</v>
      </c>
      <c r="H29" s="62" t="s">
        <v>194</v>
      </c>
    </row>
    <row r="30" spans="1:8" ht="15" customHeight="1" x14ac:dyDescent="0.25">
      <c r="A30" s="85"/>
      <c r="B30" s="85"/>
      <c r="C30" s="85"/>
      <c r="D30" s="63" t="s">
        <v>195</v>
      </c>
      <c r="E30" s="53"/>
      <c r="F30" s="53"/>
      <c r="G30" s="53"/>
      <c r="H30" s="53"/>
    </row>
    <row r="31" spans="1:8" ht="15" customHeight="1" x14ac:dyDescent="0.25">
      <c r="A31" s="83" t="s">
        <v>213</v>
      </c>
      <c r="B31" s="83"/>
      <c r="C31" s="83"/>
      <c r="D31" s="61" t="s">
        <v>214</v>
      </c>
      <c r="E31" s="54" t="s">
        <v>53</v>
      </c>
      <c r="F31" s="55">
        <v>6.2641000000000002E-2</v>
      </c>
      <c r="G31" s="56">
        <v>476894.88</v>
      </c>
      <c r="H31" s="56">
        <v>29873.17</v>
      </c>
    </row>
    <row r="32" spans="1:8" ht="15" customHeight="1" x14ac:dyDescent="0.25">
      <c r="A32" s="85"/>
      <c r="B32" s="85"/>
      <c r="C32" s="85"/>
      <c r="D32" s="57" t="s">
        <v>196</v>
      </c>
      <c r="E32" s="58"/>
      <c r="F32" s="58"/>
      <c r="G32" s="58"/>
      <c r="H32" s="59">
        <v>29873.17</v>
      </c>
    </row>
    <row r="33" spans="1:8" ht="15" customHeight="1" x14ac:dyDescent="0.25">
      <c r="A33" s="85"/>
      <c r="B33" s="85"/>
      <c r="C33" s="85"/>
      <c r="D33" s="63" t="s">
        <v>201</v>
      </c>
      <c r="E33" s="53"/>
      <c r="F33" s="53"/>
      <c r="G33" s="53"/>
      <c r="H33" s="53"/>
    </row>
    <row r="34" spans="1:8" ht="15" customHeight="1" x14ac:dyDescent="0.25">
      <c r="A34" s="83" t="s">
        <v>250</v>
      </c>
      <c r="B34" s="83"/>
      <c r="C34" s="83"/>
      <c r="D34" s="61" t="s">
        <v>251</v>
      </c>
      <c r="E34" s="54" t="s">
        <v>77</v>
      </c>
      <c r="F34" s="55">
        <v>3.2016</v>
      </c>
      <c r="G34" s="56">
        <v>24985.4</v>
      </c>
      <c r="H34" s="56">
        <v>79993.259999999995</v>
      </c>
    </row>
    <row r="35" spans="1:8" ht="15" customHeight="1" x14ac:dyDescent="0.25">
      <c r="A35" s="85"/>
      <c r="B35" s="85"/>
      <c r="C35" s="85"/>
      <c r="D35" s="57" t="s">
        <v>202</v>
      </c>
      <c r="E35" s="58"/>
      <c r="F35" s="58"/>
      <c r="G35" s="58"/>
      <c r="H35" s="59">
        <v>79993.259999999995</v>
      </c>
    </row>
    <row r="36" spans="1:8" ht="15" customHeight="1" x14ac:dyDescent="0.25">
      <c r="A36" s="85"/>
      <c r="B36" s="85"/>
      <c r="C36" s="85"/>
      <c r="D36" s="63" t="s">
        <v>7</v>
      </c>
      <c r="E36" s="60"/>
      <c r="F36" s="60"/>
      <c r="G36" s="60"/>
      <c r="H36" s="59">
        <v>109866.43</v>
      </c>
    </row>
    <row r="37" spans="1:8" ht="15" customHeight="1" x14ac:dyDescent="0.25">
      <c r="A37" s="53"/>
      <c r="B37" s="53"/>
      <c r="C37" s="53"/>
      <c r="D37" s="53"/>
      <c r="E37" s="53"/>
      <c r="F37" s="53"/>
      <c r="G37" s="53"/>
      <c r="H37" s="53"/>
    </row>
    <row r="38" spans="1:8" ht="15" customHeight="1" x14ac:dyDescent="0.25">
      <c r="A38" s="53"/>
      <c r="B38" s="53"/>
      <c r="C38" s="53"/>
      <c r="D38" s="53"/>
      <c r="E38" s="53"/>
      <c r="F38" s="53"/>
      <c r="G38" s="53"/>
      <c r="H38" s="53"/>
    </row>
    <row r="39" spans="1:8" ht="15" customHeight="1" x14ac:dyDescent="0.25">
      <c r="A39" s="95"/>
      <c r="B39" s="95"/>
      <c r="C39" s="95"/>
      <c r="D39" s="95"/>
      <c r="E39" s="95"/>
      <c r="F39" s="95" t="s">
        <v>198</v>
      </c>
      <c r="G39" s="95"/>
      <c r="H39" s="95"/>
    </row>
    <row r="40" spans="1:8" ht="15" customHeight="1" x14ac:dyDescent="0.25">
      <c r="A40" s="65"/>
      <c r="B40" s="65"/>
      <c r="C40" s="65"/>
      <c r="D40" s="91"/>
      <c r="E40" s="91"/>
      <c r="F40" s="89" t="s">
        <v>184</v>
      </c>
      <c r="G40" s="90"/>
      <c r="H40" s="90"/>
    </row>
    <row r="41" spans="1:8" ht="15" customHeight="1" x14ac:dyDescent="0.25">
      <c r="A41" s="92"/>
      <c r="B41" s="53"/>
      <c r="C41" s="92"/>
      <c r="D41" s="91"/>
      <c r="E41" s="91"/>
      <c r="F41" s="89"/>
      <c r="G41" s="90"/>
      <c r="H41" s="90"/>
    </row>
    <row r="42" spans="1:8" ht="15" customHeight="1" x14ac:dyDescent="0.25">
      <c r="A42" s="92"/>
      <c r="B42" s="53"/>
      <c r="C42" s="92"/>
      <c r="D42" s="93"/>
      <c r="E42" s="93"/>
      <c r="F42" s="64" t="s">
        <v>185</v>
      </c>
      <c r="G42" s="94"/>
      <c r="H42" s="94"/>
    </row>
    <row r="43" spans="1:8" ht="15" customHeight="1" x14ac:dyDescent="0.25">
      <c r="A43" s="92"/>
      <c r="B43" s="53"/>
      <c r="C43" s="92"/>
      <c r="D43" s="87"/>
      <c r="E43" s="87"/>
      <c r="F43" s="64" t="s">
        <v>186</v>
      </c>
      <c r="G43" s="86">
        <v>44294</v>
      </c>
      <c r="H43" s="86"/>
    </row>
    <row r="44" spans="1:8" ht="15" customHeight="1" x14ac:dyDescent="0.25">
      <c r="A44" s="92"/>
      <c r="B44" s="53"/>
      <c r="C44" s="92"/>
      <c r="D44" s="87"/>
      <c r="E44" s="87"/>
      <c r="F44" s="64" t="s">
        <v>187</v>
      </c>
      <c r="G44" s="88" t="s">
        <v>413</v>
      </c>
      <c r="H44" s="88"/>
    </row>
    <row r="45" spans="1:8" ht="15" customHeight="1" x14ac:dyDescent="0.25">
      <c r="A45" s="92"/>
      <c r="B45" s="53"/>
      <c r="C45" s="92"/>
      <c r="D45" s="83"/>
      <c r="E45" s="83"/>
      <c r="F45" s="89"/>
      <c r="G45" s="89"/>
      <c r="H45" s="89"/>
    </row>
    <row r="46" spans="1:8" ht="15" customHeight="1" x14ac:dyDescent="0.25">
      <c r="A46" s="65"/>
      <c r="B46" s="65"/>
      <c r="C46" s="65"/>
      <c r="D46" s="83"/>
      <c r="E46" s="83"/>
      <c r="F46" s="89"/>
      <c r="G46" s="89"/>
      <c r="H46" s="89"/>
    </row>
    <row r="47" spans="1:8" ht="15" customHeight="1" x14ac:dyDescent="0.25">
      <c r="A47" s="90" t="s">
        <v>188</v>
      </c>
      <c r="B47" s="90"/>
      <c r="C47" s="90"/>
      <c r="D47" s="90"/>
      <c r="E47" s="90"/>
      <c r="F47" s="90"/>
      <c r="G47" s="90"/>
      <c r="H47" s="90"/>
    </row>
    <row r="48" spans="1:8" ht="15" customHeight="1" x14ac:dyDescent="0.25">
      <c r="A48" s="82" t="s">
        <v>189</v>
      </c>
      <c r="B48" s="82"/>
      <c r="C48" s="82"/>
      <c r="D48" s="82"/>
      <c r="E48" s="82"/>
      <c r="F48" s="82"/>
      <c r="G48" s="82"/>
      <c r="H48" s="82"/>
    </row>
    <row r="49" spans="1:8" ht="15" customHeight="1" x14ac:dyDescent="0.25">
      <c r="A49" s="83" t="s">
        <v>252</v>
      </c>
      <c r="B49" s="83"/>
      <c r="C49" s="83"/>
      <c r="D49" s="83" t="s">
        <v>253</v>
      </c>
      <c r="E49" s="83"/>
      <c r="F49" s="83"/>
      <c r="G49" s="83"/>
      <c r="H49" s="54" t="s">
        <v>54</v>
      </c>
    </row>
    <row r="50" spans="1:8" ht="15" customHeight="1" x14ac:dyDescent="0.25">
      <c r="A50" s="84" t="s">
        <v>190</v>
      </c>
      <c r="B50" s="84"/>
      <c r="C50" s="84"/>
      <c r="D50" s="62" t="s">
        <v>57</v>
      </c>
      <c r="E50" s="62" t="s">
        <v>191</v>
      </c>
      <c r="F50" s="62" t="s">
        <v>192</v>
      </c>
      <c r="G50" s="62" t="s">
        <v>193</v>
      </c>
      <c r="H50" s="62" t="s">
        <v>194</v>
      </c>
    </row>
    <row r="51" spans="1:8" ht="15" customHeight="1" x14ac:dyDescent="0.25">
      <c r="A51" s="85"/>
      <c r="B51" s="85"/>
      <c r="C51" s="85"/>
      <c r="D51" s="63" t="s">
        <v>195</v>
      </c>
      <c r="E51" s="53"/>
      <c r="F51" s="53"/>
      <c r="G51" s="53"/>
      <c r="H51" s="53"/>
    </row>
    <row r="52" spans="1:8" ht="15" customHeight="1" x14ac:dyDescent="0.25">
      <c r="A52" s="83" t="s">
        <v>213</v>
      </c>
      <c r="B52" s="83"/>
      <c r="C52" s="83"/>
      <c r="D52" s="61" t="s">
        <v>214</v>
      </c>
      <c r="E52" s="54" t="s">
        <v>53</v>
      </c>
      <c r="F52" s="55">
        <v>0.12</v>
      </c>
      <c r="G52" s="56">
        <v>476894.88</v>
      </c>
      <c r="H52" s="56">
        <v>57227.39</v>
      </c>
    </row>
    <row r="53" spans="1:8" ht="15" customHeight="1" x14ac:dyDescent="0.25">
      <c r="A53" s="83" t="s">
        <v>254</v>
      </c>
      <c r="B53" s="83"/>
      <c r="C53" s="83"/>
      <c r="D53" s="61" t="s">
        <v>255</v>
      </c>
      <c r="E53" s="54" t="s">
        <v>51</v>
      </c>
      <c r="F53" s="55">
        <v>1.395</v>
      </c>
      <c r="G53" s="56">
        <v>24860</v>
      </c>
      <c r="H53" s="56">
        <v>34679.699999999997</v>
      </c>
    </row>
    <row r="54" spans="1:8" ht="15" customHeight="1" x14ac:dyDescent="0.25">
      <c r="A54" s="83" t="s">
        <v>217</v>
      </c>
      <c r="B54" s="83"/>
      <c r="C54" s="83"/>
      <c r="D54" s="61" t="s">
        <v>409</v>
      </c>
      <c r="E54" s="54" t="s">
        <v>50</v>
      </c>
      <c r="F54" s="55">
        <v>0.15</v>
      </c>
      <c r="G54" s="56">
        <v>5100</v>
      </c>
      <c r="H54" s="56">
        <v>765</v>
      </c>
    </row>
    <row r="55" spans="1:8" ht="15" customHeight="1" x14ac:dyDescent="0.25">
      <c r="A55" s="85"/>
      <c r="B55" s="85"/>
      <c r="C55" s="85"/>
      <c r="D55" s="57" t="s">
        <v>196</v>
      </c>
      <c r="E55" s="58"/>
      <c r="F55" s="58"/>
      <c r="G55" s="58"/>
      <c r="H55" s="59">
        <v>92672.09</v>
      </c>
    </row>
    <row r="56" spans="1:8" ht="15" customHeight="1" x14ac:dyDescent="0.25">
      <c r="A56" s="85"/>
      <c r="B56" s="85"/>
      <c r="C56" s="85"/>
      <c r="D56" s="63" t="s">
        <v>201</v>
      </c>
      <c r="E56" s="53"/>
      <c r="F56" s="53"/>
      <c r="G56" s="53"/>
      <c r="H56" s="53"/>
    </row>
    <row r="57" spans="1:8" ht="15" customHeight="1" x14ac:dyDescent="0.25">
      <c r="A57" s="83" t="s">
        <v>256</v>
      </c>
      <c r="B57" s="83"/>
      <c r="C57" s="83"/>
      <c r="D57" s="61" t="s">
        <v>257</v>
      </c>
      <c r="E57" s="54" t="s">
        <v>54</v>
      </c>
      <c r="F57" s="55">
        <v>1</v>
      </c>
      <c r="G57" s="56">
        <v>50464.59</v>
      </c>
      <c r="H57" s="56">
        <v>50464.59</v>
      </c>
    </row>
    <row r="58" spans="1:8" ht="15" customHeight="1" x14ac:dyDescent="0.25">
      <c r="A58" s="85"/>
      <c r="B58" s="85"/>
      <c r="C58" s="85"/>
      <c r="D58" s="57" t="s">
        <v>202</v>
      </c>
      <c r="E58" s="58"/>
      <c r="F58" s="58"/>
      <c r="G58" s="58"/>
      <c r="H58" s="59">
        <v>50464.59</v>
      </c>
    </row>
    <row r="59" spans="1:8" ht="15" customHeight="1" x14ac:dyDescent="0.25">
      <c r="A59" s="85"/>
      <c r="B59" s="85"/>
      <c r="C59" s="85"/>
      <c r="D59" s="63" t="s">
        <v>7</v>
      </c>
      <c r="E59" s="60"/>
      <c r="F59" s="60"/>
      <c r="G59" s="60"/>
      <c r="H59" s="59">
        <v>143136.68</v>
      </c>
    </row>
    <row r="60" spans="1:8" ht="15" customHeight="1" x14ac:dyDescent="0.25">
      <c r="A60" s="53"/>
      <c r="B60" s="53"/>
      <c r="C60" s="53"/>
      <c r="D60" s="53"/>
      <c r="E60" s="53"/>
      <c r="F60" s="53"/>
      <c r="G60" s="53"/>
      <c r="H60" s="53"/>
    </row>
    <row r="61" spans="1:8" ht="15" customHeight="1" x14ac:dyDescent="0.25">
      <c r="A61" s="53"/>
      <c r="B61" s="53"/>
      <c r="C61" s="53"/>
      <c r="D61" s="53"/>
      <c r="E61" s="53"/>
      <c r="F61" s="53"/>
      <c r="G61" s="53"/>
      <c r="H61" s="53"/>
    </row>
    <row r="62" spans="1:8" ht="15" customHeight="1" x14ac:dyDescent="0.25">
      <c r="A62" s="95"/>
      <c r="B62" s="95"/>
      <c r="C62" s="95"/>
      <c r="D62" s="95"/>
      <c r="E62" s="95"/>
      <c r="F62" s="95" t="s">
        <v>198</v>
      </c>
      <c r="G62" s="95"/>
      <c r="H62" s="95"/>
    </row>
    <row r="63" spans="1:8" ht="15" customHeight="1" x14ac:dyDescent="0.25">
      <c r="A63" s="65"/>
      <c r="B63" s="65"/>
      <c r="C63" s="65"/>
      <c r="D63" s="91"/>
      <c r="E63" s="91"/>
      <c r="F63" s="89" t="s">
        <v>184</v>
      </c>
      <c r="G63" s="90"/>
      <c r="H63" s="90"/>
    </row>
    <row r="64" spans="1:8" ht="15" customHeight="1" x14ac:dyDescent="0.25">
      <c r="A64" s="92"/>
      <c r="B64" s="53"/>
      <c r="C64" s="92"/>
      <c r="D64" s="91"/>
      <c r="E64" s="91"/>
      <c r="F64" s="89"/>
      <c r="G64" s="90"/>
      <c r="H64" s="90"/>
    </row>
    <row r="65" spans="1:8" ht="15" customHeight="1" x14ac:dyDescent="0.25">
      <c r="A65" s="92"/>
      <c r="B65" s="53"/>
      <c r="C65" s="92"/>
      <c r="D65" s="93"/>
      <c r="E65" s="93"/>
      <c r="F65" s="64" t="s">
        <v>185</v>
      </c>
      <c r="G65" s="94"/>
      <c r="H65" s="94"/>
    </row>
    <row r="66" spans="1:8" ht="15" customHeight="1" x14ac:dyDescent="0.25">
      <c r="A66" s="92"/>
      <c r="B66" s="53"/>
      <c r="C66" s="92"/>
      <c r="D66" s="87"/>
      <c r="E66" s="87"/>
      <c r="F66" s="64" t="s">
        <v>186</v>
      </c>
      <c r="G66" s="86">
        <v>44294</v>
      </c>
      <c r="H66" s="86"/>
    </row>
    <row r="67" spans="1:8" ht="15" customHeight="1" x14ac:dyDescent="0.25">
      <c r="A67" s="92"/>
      <c r="B67" s="53"/>
      <c r="C67" s="92"/>
      <c r="D67" s="87"/>
      <c r="E67" s="87"/>
      <c r="F67" s="64" t="s">
        <v>187</v>
      </c>
      <c r="G67" s="88" t="s">
        <v>414</v>
      </c>
      <c r="H67" s="88"/>
    </row>
    <row r="68" spans="1:8" ht="15" customHeight="1" x14ac:dyDescent="0.25">
      <c r="A68" s="92"/>
      <c r="B68" s="53"/>
      <c r="C68" s="92"/>
      <c r="D68" s="83"/>
      <c r="E68" s="83"/>
      <c r="F68" s="89"/>
      <c r="G68" s="89"/>
      <c r="H68" s="89"/>
    </row>
    <row r="69" spans="1:8" ht="15" customHeight="1" x14ac:dyDescent="0.25">
      <c r="A69" s="65"/>
      <c r="B69" s="65"/>
      <c r="C69" s="65"/>
      <c r="D69" s="83"/>
      <c r="E69" s="83"/>
      <c r="F69" s="89"/>
      <c r="G69" s="89"/>
      <c r="H69" s="89"/>
    </row>
    <row r="70" spans="1:8" ht="15" customHeight="1" x14ac:dyDescent="0.25">
      <c r="A70" s="90" t="s">
        <v>188</v>
      </c>
      <c r="B70" s="90"/>
      <c r="C70" s="90"/>
      <c r="D70" s="90"/>
      <c r="E70" s="90"/>
      <c r="F70" s="90"/>
      <c r="G70" s="90"/>
      <c r="H70" s="90"/>
    </row>
    <row r="71" spans="1:8" ht="15" customHeight="1" x14ac:dyDescent="0.25">
      <c r="A71" s="82" t="s">
        <v>189</v>
      </c>
      <c r="B71" s="82"/>
      <c r="C71" s="82"/>
      <c r="D71" s="82"/>
      <c r="E71" s="82"/>
      <c r="F71" s="82"/>
      <c r="G71" s="82"/>
      <c r="H71" s="82"/>
    </row>
    <row r="72" spans="1:8" ht="15" customHeight="1" x14ac:dyDescent="0.25">
      <c r="A72" s="83" t="s">
        <v>258</v>
      </c>
      <c r="B72" s="83"/>
      <c r="C72" s="83"/>
      <c r="D72" s="83" t="s">
        <v>118</v>
      </c>
      <c r="E72" s="83"/>
      <c r="F72" s="83"/>
      <c r="G72" s="83"/>
      <c r="H72" s="54" t="s">
        <v>54</v>
      </c>
    </row>
    <row r="73" spans="1:8" ht="15" customHeight="1" x14ac:dyDescent="0.25">
      <c r="A73" s="84" t="s">
        <v>190</v>
      </c>
      <c r="B73" s="84"/>
      <c r="C73" s="84"/>
      <c r="D73" s="62" t="s">
        <v>57</v>
      </c>
      <c r="E73" s="62" t="s">
        <v>191</v>
      </c>
      <c r="F73" s="62" t="s">
        <v>192</v>
      </c>
      <c r="G73" s="62" t="s">
        <v>193</v>
      </c>
      <c r="H73" s="62" t="s">
        <v>194</v>
      </c>
    </row>
    <row r="74" spans="1:8" ht="15" customHeight="1" x14ac:dyDescent="0.25">
      <c r="A74" s="85"/>
      <c r="B74" s="85"/>
      <c r="C74" s="85"/>
      <c r="D74" s="63" t="s">
        <v>195</v>
      </c>
      <c r="E74" s="53"/>
      <c r="F74" s="53"/>
      <c r="G74" s="53"/>
      <c r="H74" s="53"/>
    </row>
    <row r="75" spans="1:8" ht="15" customHeight="1" x14ac:dyDescent="0.25">
      <c r="A75" s="83" t="s">
        <v>213</v>
      </c>
      <c r="B75" s="83"/>
      <c r="C75" s="83"/>
      <c r="D75" s="61" t="s">
        <v>214</v>
      </c>
      <c r="E75" s="54" t="s">
        <v>53</v>
      </c>
      <c r="F75" s="55">
        <v>0.12</v>
      </c>
      <c r="G75" s="56">
        <v>476894.88</v>
      </c>
      <c r="H75" s="56">
        <v>57227.39</v>
      </c>
    </row>
    <row r="76" spans="1:8" ht="15" customHeight="1" x14ac:dyDescent="0.25">
      <c r="A76" s="83" t="s">
        <v>254</v>
      </c>
      <c r="B76" s="83"/>
      <c r="C76" s="83"/>
      <c r="D76" s="61" t="s">
        <v>255</v>
      </c>
      <c r="E76" s="54" t="s">
        <v>51</v>
      </c>
      <c r="F76" s="55">
        <v>1.395</v>
      </c>
      <c r="G76" s="56">
        <v>24860</v>
      </c>
      <c r="H76" s="56">
        <v>34679.699999999997</v>
      </c>
    </row>
    <row r="77" spans="1:8" ht="15" customHeight="1" x14ac:dyDescent="0.25">
      <c r="A77" s="83" t="s">
        <v>217</v>
      </c>
      <c r="B77" s="83"/>
      <c r="C77" s="83"/>
      <c r="D77" s="61" t="s">
        <v>409</v>
      </c>
      <c r="E77" s="54" t="s">
        <v>50</v>
      </c>
      <c r="F77" s="55">
        <v>0.15</v>
      </c>
      <c r="G77" s="56">
        <v>5100</v>
      </c>
      <c r="H77" s="56">
        <v>765</v>
      </c>
    </row>
    <row r="78" spans="1:8" ht="15" customHeight="1" x14ac:dyDescent="0.25">
      <c r="A78" s="85"/>
      <c r="B78" s="85"/>
      <c r="C78" s="85"/>
      <c r="D78" s="57" t="s">
        <v>196</v>
      </c>
      <c r="E78" s="58"/>
      <c r="F78" s="58"/>
      <c r="G78" s="58"/>
      <c r="H78" s="59">
        <v>92672.09</v>
      </c>
    </row>
    <row r="79" spans="1:8" ht="15" customHeight="1" x14ac:dyDescent="0.25">
      <c r="A79" s="85"/>
      <c r="B79" s="85"/>
      <c r="C79" s="85"/>
      <c r="D79" s="63" t="s">
        <v>201</v>
      </c>
      <c r="E79" s="53"/>
      <c r="F79" s="53"/>
      <c r="G79" s="53"/>
      <c r="H79" s="53"/>
    </row>
    <row r="80" spans="1:8" ht="15" customHeight="1" x14ac:dyDescent="0.25">
      <c r="A80" s="83" t="s">
        <v>256</v>
      </c>
      <c r="B80" s="83"/>
      <c r="C80" s="83"/>
      <c r="D80" s="61" t="s">
        <v>257</v>
      </c>
      <c r="E80" s="54" t="s">
        <v>54</v>
      </c>
      <c r="F80" s="55">
        <v>1</v>
      </c>
      <c r="G80" s="56">
        <v>50464.59</v>
      </c>
      <c r="H80" s="56">
        <v>50464.59</v>
      </c>
    </row>
    <row r="81" spans="1:8" ht="15" customHeight="1" x14ac:dyDescent="0.25">
      <c r="A81" s="85"/>
      <c r="B81" s="85"/>
      <c r="C81" s="85"/>
      <c r="D81" s="57" t="s">
        <v>202</v>
      </c>
      <c r="E81" s="58"/>
      <c r="F81" s="58"/>
      <c r="G81" s="58"/>
      <c r="H81" s="59">
        <v>50464.59</v>
      </c>
    </row>
    <row r="82" spans="1:8" ht="15" customHeight="1" x14ac:dyDescent="0.25">
      <c r="A82" s="85"/>
      <c r="B82" s="85"/>
      <c r="C82" s="85"/>
      <c r="D82" s="63" t="s">
        <v>7</v>
      </c>
      <c r="E82" s="60"/>
      <c r="F82" s="60"/>
      <c r="G82" s="60"/>
      <c r="H82" s="59">
        <v>143136.68</v>
      </c>
    </row>
    <row r="83" spans="1:8" ht="15" customHeight="1" x14ac:dyDescent="0.25">
      <c r="A83" s="53"/>
      <c r="B83" s="53"/>
      <c r="C83" s="53"/>
      <c r="D83" s="53"/>
      <c r="E83" s="53"/>
      <c r="F83" s="53"/>
      <c r="G83" s="53"/>
      <c r="H83" s="53"/>
    </row>
    <row r="84" spans="1:8" ht="15" customHeight="1" x14ac:dyDescent="0.25">
      <c r="A84" s="53"/>
      <c r="B84" s="53"/>
      <c r="C84" s="53"/>
      <c r="D84" s="53"/>
      <c r="E84" s="53"/>
      <c r="F84" s="53"/>
      <c r="G84" s="53"/>
      <c r="H84" s="53"/>
    </row>
    <row r="85" spans="1:8" ht="15" customHeight="1" x14ac:dyDescent="0.25">
      <c r="A85" s="95"/>
      <c r="B85" s="95"/>
      <c r="C85" s="95"/>
      <c r="D85" s="95"/>
      <c r="E85" s="95"/>
      <c r="F85" s="95" t="s">
        <v>198</v>
      </c>
      <c r="G85" s="95"/>
      <c r="H85" s="95"/>
    </row>
    <row r="86" spans="1:8" ht="15" customHeight="1" x14ac:dyDescent="0.25">
      <c r="A86" s="65"/>
      <c r="B86" s="65"/>
      <c r="C86" s="65"/>
      <c r="D86" s="91"/>
      <c r="E86" s="91"/>
      <c r="F86" s="89" t="s">
        <v>184</v>
      </c>
      <c r="G86" s="90"/>
      <c r="H86" s="90"/>
    </row>
    <row r="87" spans="1:8" ht="15" customHeight="1" x14ac:dyDescent="0.25">
      <c r="A87" s="92"/>
      <c r="B87" s="53"/>
      <c r="C87" s="92"/>
      <c r="D87" s="91"/>
      <c r="E87" s="91"/>
      <c r="F87" s="89"/>
      <c r="G87" s="90"/>
      <c r="H87" s="90"/>
    </row>
    <row r="88" spans="1:8" ht="15" customHeight="1" x14ac:dyDescent="0.25">
      <c r="A88" s="92"/>
      <c r="B88" s="53"/>
      <c r="C88" s="92"/>
      <c r="D88" s="93"/>
      <c r="E88" s="93"/>
      <c r="F88" s="64" t="s">
        <v>185</v>
      </c>
      <c r="G88" s="94"/>
      <c r="H88" s="94"/>
    </row>
    <row r="89" spans="1:8" ht="15" customHeight="1" x14ac:dyDescent="0.25">
      <c r="A89" s="92"/>
      <c r="B89" s="53"/>
      <c r="C89" s="92"/>
      <c r="D89" s="87"/>
      <c r="E89" s="87"/>
      <c r="F89" s="64" t="s">
        <v>186</v>
      </c>
      <c r="G89" s="86">
        <v>44294</v>
      </c>
      <c r="H89" s="86"/>
    </row>
    <row r="90" spans="1:8" ht="15" customHeight="1" x14ac:dyDescent="0.25">
      <c r="A90" s="92"/>
      <c r="B90" s="53"/>
      <c r="C90" s="92"/>
      <c r="D90" s="87"/>
      <c r="E90" s="87"/>
      <c r="F90" s="64" t="s">
        <v>187</v>
      </c>
      <c r="G90" s="88" t="s">
        <v>415</v>
      </c>
      <c r="H90" s="88"/>
    </row>
    <row r="91" spans="1:8" ht="15" customHeight="1" x14ac:dyDescent="0.25">
      <c r="A91" s="92"/>
      <c r="B91" s="53"/>
      <c r="C91" s="92"/>
      <c r="D91" s="83"/>
      <c r="E91" s="83"/>
      <c r="F91" s="89"/>
      <c r="G91" s="89"/>
      <c r="H91" s="89"/>
    </row>
    <row r="92" spans="1:8" ht="15" customHeight="1" x14ac:dyDescent="0.25">
      <c r="A92" s="65"/>
      <c r="B92" s="65"/>
      <c r="C92" s="65"/>
      <c r="D92" s="83"/>
      <c r="E92" s="83"/>
      <c r="F92" s="89"/>
      <c r="G92" s="89"/>
      <c r="H92" s="89"/>
    </row>
    <row r="93" spans="1:8" ht="15" customHeight="1" x14ac:dyDescent="0.25">
      <c r="A93" s="90" t="s">
        <v>188</v>
      </c>
      <c r="B93" s="90"/>
      <c r="C93" s="90"/>
      <c r="D93" s="90"/>
      <c r="E93" s="90"/>
      <c r="F93" s="90"/>
      <c r="G93" s="90"/>
      <c r="H93" s="90"/>
    </row>
    <row r="94" spans="1:8" ht="15" customHeight="1" x14ac:dyDescent="0.25">
      <c r="A94" s="82" t="s">
        <v>189</v>
      </c>
      <c r="B94" s="82"/>
      <c r="C94" s="82"/>
      <c r="D94" s="82"/>
      <c r="E94" s="82"/>
      <c r="F94" s="82"/>
      <c r="G94" s="82"/>
      <c r="H94" s="82"/>
    </row>
    <row r="95" spans="1:8" ht="15" customHeight="1" x14ac:dyDescent="0.25">
      <c r="A95" s="83" t="s">
        <v>259</v>
      </c>
      <c r="B95" s="83"/>
      <c r="C95" s="83"/>
      <c r="D95" s="83" t="s">
        <v>36</v>
      </c>
      <c r="E95" s="83"/>
      <c r="F95" s="83"/>
      <c r="G95" s="83"/>
      <c r="H95" s="54" t="s">
        <v>53</v>
      </c>
    </row>
    <row r="96" spans="1:8" ht="15" customHeight="1" x14ac:dyDescent="0.25">
      <c r="A96" s="84" t="s">
        <v>190</v>
      </c>
      <c r="B96" s="84"/>
      <c r="C96" s="84"/>
      <c r="D96" s="62" t="s">
        <v>57</v>
      </c>
      <c r="E96" s="62" t="s">
        <v>191</v>
      </c>
      <c r="F96" s="62" t="s">
        <v>192</v>
      </c>
      <c r="G96" s="62" t="s">
        <v>193</v>
      </c>
      <c r="H96" s="62" t="s">
        <v>194</v>
      </c>
    </row>
    <row r="97" spans="1:8" ht="15" customHeight="1" x14ac:dyDescent="0.25">
      <c r="A97" s="85"/>
      <c r="B97" s="85"/>
      <c r="C97" s="85"/>
      <c r="D97" s="63" t="s">
        <v>195</v>
      </c>
      <c r="E97" s="53"/>
      <c r="F97" s="53"/>
      <c r="G97" s="53"/>
      <c r="H97" s="53"/>
    </row>
    <row r="98" spans="1:8" ht="15" customHeight="1" x14ac:dyDescent="0.25">
      <c r="A98" s="83" t="s">
        <v>213</v>
      </c>
      <c r="B98" s="83"/>
      <c r="C98" s="83"/>
      <c r="D98" s="61" t="s">
        <v>214</v>
      </c>
      <c r="E98" s="54" t="s">
        <v>53</v>
      </c>
      <c r="F98" s="55">
        <v>1.05</v>
      </c>
      <c r="G98" s="56">
        <v>476894.88</v>
      </c>
      <c r="H98" s="56">
        <v>500739.62</v>
      </c>
    </row>
    <row r="99" spans="1:8" ht="15" customHeight="1" x14ac:dyDescent="0.25">
      <c r="A99" s="85"/>
      <c r="B99" s="85"/>
      <c r="C99" s="85"/>
      <c r="D99" s="57" t="s">
        <v>196</v>
      </c>
      <c r="E99" s="58"/>
      <c r="F99" s="58"/>
      <c r="G99" s="58"/>
      <c r="H99" s="59">
        <v>500739.62</v>
      </c>
    </row>
    <row r="100" spans="1:8" ht="15" customHeight="1" x14ac:dyDescent="0.25">
      <c r="A100" s="85"/>
      <c r="B100" s="85"/>
      <c r="C100" s="85"/>
      <c r="D100" s="63" t="s">
        <v>201</v>
      </c>
      <c r="E100" s="53"/>
      <c r="F100" s="53"/>
      <c r="G100" s="53"/>
      <c r="H100" s="53"/>
    </row>
    <row r="101" spans="1:8" ht="15" customHeight="1" x14ac:dyDescent="0.25">
      <c r="A101" s="83" t="s">
        <v>260</v>
      </c>
      <c r="B101" s="83"/>
      <c r="C101" s="83"/>
      <c r="D101" s="61" t="s">
        <v>261</v>
      </c>
      <c r="E101" s="54" t="s">
        <v>53</v>
      </c>
      <c r="F101" s="55">
        <v>1</v>
      </c>
      <c r="G101" s="56">
        <v>462229.9</v>
      </c>
      <c r="H101" s="56">
        <v>462229.9</v>
      </c>
    </row>
    <row r="102" spans="1:8" ht="15" customHeight="1" x14ac:dyDescent="0.25">
      <c r="A102" s="85"/>
      <c r="B102" s="85"/>
      <c r="C102" s="85"/>
      <c r="D102" s="57" t="s">
        <v>202</v>
      </c>
      <c r="E102" s="58"/>
      <c r="F102" s="58"/>
      <c r="G102" s="58"/>
      <c r="H102" s="59">
        <v>462229.9</v>
      </c>
    </row>
    <row r="103" spans="1:8" ht="15" customHeight="1" x14ac:dyDescent="0.25">
      <c r="A103" s="85"/>
      <c r="B103" s="85"/>
      <c r="C103" s="85"/>
      <c r="D103" s="63" t="s">
        <v>7</v>
      </c>
      <c r="E103" s="60"/>
      <c r="F103" s="60"/>
      <c r="G103" s="60"/>
      <c r="H103" s="59">
        <v>962969.52</v>
      </c>
    </row>
    <row r="104" spans="1:8" ht="15" customHeight="1" x14ac:dyDescent="0.25">
      <c r="A104" s="53"/>
      <c r="B104" s="53"/>
      <c r="C104" s="53"/>
      <c r="D104" s="53"/>
      <c r="E104" s="53"/>
      <c r="F104" s="53"/>
      <c r="G104" s="53"/>
      <c r="H104" s="53"/>
    </row>
    <row r="105" spans="1:8" ht="15" customHeight="1" x14ac:dyDescent="0.25">
      <c r="A105" s="53"/>
      <c r="B105" s="53"/>
      <c r="C105" s="53"/>
      <c r="D105" s="53"/>
      <c r="E105" s="53"/>
      <c r="F105" s="53"/>
      <c r="G105" s="53"/>
      <c r="H105" s="53"/>
    </row>
    <row r="106" spans="1:8" ht="15" customHeight="1" x14ac:dyDescent="0.25">
      <c r="A106" s="95"/>
      <c r="B106" s="95"/>
      <c r="C106" s="95"/>
      <c r="D106" s="95"/>
      <c r="E106" s="95"/>
      <c r="F106" s="95" t="s">
        <v>198</v>
      </c>
      <c r="G106" s="95"/>
      <c r="H106" s="95"/>
    </row>
    <row r="107" spans="1:8" ht="15" customHeight="1" x14ac:dyDescent="0.25">
      <c r="A107" s="65"/>
      <c r="B107" s="65"/>
      <c r="C107" s="65"/>
      <c r="D107" s="91"/>
      <c r="E107" s="91"/>
      <c r="F107" s="89" t="s">
        <v>184</v>
      </c>
      <c r="G107" s="90"/>
      <c r="H107" s="90"/>
    </row>
    <row r="108" spans="1:8" ht="15" customHeight="1" x14ac:dyDescent="0.25">
      <c r="A108" s="92"/>
      <c r="B108" s="53"/>
      <c r="C108" s="92"/>
      <c r="D108" s="91"/>
      <c r="E108" s="91"/>
      <c r="F108" s="89"/>
      <c r="G108" s="90"/>
      <c r="H108" s="90"/>
    </row>
    <row r="109" spans="1:8" ht="15" customHeight="1" x14ac:dyDescent="0.25">
      <c r="A109" s="92"/>
      <c r="B109" s="53"/>
      <c r="C109" s="92"/>
      <c r="D109" s="93"/>
      <c r="E109" s="93"/>
      <c r="F109" s="64" t="s">
        <v>185</v>
      </c>
      <c r="G109" s="94"/>
      <c r="H109" s="94"/>
    </row>
    <row r="110" spans="1:8" ht="15" customHeight="1" x14ac:dyDescent="0.25">
      <c r="A110" s="92"/>
      <c r="B110" s="53"/>
      <c r="C110" s="92"/>
      <c r="D110" s="87"/>
      <c r="E110" s="87"/>
      <c r="F110" s="64" t="s">
        <v>186</v>
      </c>
      <c r="G110" s="86">
        <v>44294</v>
      </c>
      <c r="H110" s="86"/>
    </row>
    <row r="111" spans="1:8" ht="15" customHeight="1" x14ac:dyDescent="0.25">
      <c r="A111" s="92"/>
      <c r="B111" s="53"/>
      <c r="C111" s="92"/>
      <c r="D111" s="87"/>
      <c r="E111" s="87"/>
      <c r="F111" s="64" t="s">
        <v>187</v>
      </c>
      <c r="G111" s="88" t="s">
        <v>416</v>
      </c>
      <c r="H111" s="88"/>
    </row>
    <row r="112" spans="1:8" ht="15" customHeight="1" x14ac:dyDescent="0.25">
      <c r="A112" s="92"/>
      <c r="B112" s="53"/>
      <c r="C112" s="92"/>
      <c r="D112" s="83"/>
      <c r="E112" s="83"/>
      <c r="F112" s="89"/>
      <c r="G112" s="89"/>
      <c r="H112" s="89"/>
    </row>
    <row r="113" spans="1:8" ht="15" customHeight="1" x14ac:dyDescent="0.25">
      <c r="A113" s="65"/>
      <c r="B113" s="65"/>
      <c r="C113" s="65"/>
      <c r="D113" s="83"/>
      <c r="E113" s="83"/>
      <c r="F113" s="89"/>
      <c r="G113" s="89"/>
      <c r="H113" s="89"/>
    </row>
    <row r="114" spans="1:8" ht="15" customHeight="1" x14ac:dyDescent="0.25">
      <c r="A114" s="90" t="s">
        <v>188</v>
      </c>
      <c r="B114" s="90"/>
      <c r="C114" s="90"/>
      <c r="D114" s="90"/>
      <c r="E114" s="90"/>
      <c r="F114" s="90"/>
      <c r="G114" s="90"/>
      <c r="H114" s="90"/>
    </row>
    <row r="115" spans="1:8" ht="15" customHeight="1" x14ac:dyDescent="0.25">
      <c r="A115" s="82" t="s">
        <v>189</v>
      </c>
      <c r="B115" s="82"/>
      <c r="C115" s="82"/>
      <c r="D115" s="82"/>
      <c r="E115" s="82"/>
      <c r="F115" s="82"/>
      <c r="G115" s="82"/>
      <c r="H115" s="82"/>
    </row>
    <row r="116" spans="1:8" ht="15" customHeight="1" x14ac:dyDescent="0.25">
      <c r="A116" s="83" t="s">
        <v>262</v>
      </c>
      <c r="B116" s="83"/>
      <c r="C116" s="83"/>
      <c r="D116" s="83" t="s">
        <v>263</v>
      </c>
      <c r="E116" s="83"/>
      <c r="F116" s="83"/>
      <c r="G116" s="83"/>
      <c r="H116" s="54" t="s">
        <v>54</v>
      </c>
    </row>
    <row r="117" spans="1:8" ht="15" customHeight="1" x14ac:dyDescent="0.25">
      <c r="A117" s="84" t="s">
        <v>190</v>
      </c>
      <c r="B117" s="84"/>
      <c r="C117" s="84"/>
      <c r="D117" s="62" t="s">
        <v>57</v>
      </c>
      <c r="E117" s="62" t="s">
        <v>191</v>
      </c>
      <c r="F117" s="62" t="s">
        <v>192</v>
      </c>
      <c r="G117" s="62" t="s">
        <v>193</v>
      </c>
      <c r="H117" s="62" t="s">
        <v>194</v>
      </c>
    </row>
    <row r="118" spans="1:8" ht="15" customHeight="1" x14ac:dyDescent="0.25">
      <c r="A118" s="85"/>
      <c r="B118" s="85"/>
      <c r="C118" s="85"/>
      <c r="D118" s="63" t="s">
        <v>195</v>
      </c>
      <c r="E118" s="53"/>
      <c r="F118" s="53"/>
      <c r="G118" s="53"/>
      <c r="H118" s="53"/>
    </row>
    <row r="119" spans="1:8" ht="15" customHeight="1" x14ac:dyDescent="0.25">
      <c r="A119" s="83" t="s">
        <v>213</v>
      </c>
      <c r="B119" s="83"/>
      <c r="C119" s="83"/>
      <c r="D119" s="61" t="s">
        <v>214</v>
      </c>
      <c r="E119" s="54" t="s">
        <v>53</v>
      </c>
      <c r="F119" s="55">
        <v>0.12</v>
      </c>
      <c r="G119" s="56">
        <v>476894.88</v>
      </c>
      <c r="H119" s="56">
        <v>57227.39</v>
      </c>
    </row>
    <row r="120" spans="1:8" ht="15" customHeight="1" x14ac:dyDescent="0.25">
      <c r="A120" s="83" t="s">
        <v>254</v>
      </c>
      <c r="B120" s="83"/>
      <c r="C120" s="83"/>
      <c r="D120" s="61" t="s">
        <v>255</v>
      </c>
      <c r="E120" s="54" t="s">
        <v>51</v>
      </c>
      <c r="F120" s="55">
        <v>1.395</v>
      </c>
      <c r="G120" s="56">
        <v>24860</v>
      </c>
      <c r="H120" s="56">
        <v>34679.699999999997</v>
      </c>
    </row>
    <row r="121" spans="1:8" ht="15" customHeight="1" x14ac:dyDescent="0.25">
      <c r="A121" s="83" t="s">
        <v>217</v>
      </c>
      <c r="B121" s="83"/>
      <c r="C121" s="83"/>
      <c r="D121" s="61" t="s">
        <v>409</v>
      </c>
      <c r="E121" s="54" t="s">
        <v>50</v>
      </c>
      <c r="F121" s="55">
        <v>0.15</v>
      </c>
      <c r="G121" s="56">
        <v>5100</v>
      </c>
      <c r="H121" s="56">
        <v>765</v>
      </c>
    </row>
    <row r="122" spans="1:8" ht="15" customHeight="1" x14ac:dyDescent="0.25">
      <c r="A122" s="85"/>
      <c r="B122" s="85"/>
      <c r="C122" s="85"/>
      <c r="D122" s="57" t="s">
        <v>196</v>
      </c>
      <c r="E122" s="58"/>
      <c r="F122" s="58"/>
      <c r="G122" s="58"/>
      <c r="H122" s="59">
        <v>92672.09</v>
      </c>
    </row>
    <row r="123" spans="1:8" ht="15" customHeight="1" x14ac:dyDescent="0.25">
      <c r="A123" s="85"/>
      <c r="B123" s="85"/>
      <c r="C123" s="85"/>
      <c r="D123" s="63" t="s">
        <v>201</v>
      </c>
      <c r="E123" s="53"/>
      <c r="F123" s="53"/>
      <c r="G123" s="53"/>
      <c r="H123" s="53"/>
    </row>
    <row r="124" spans="1:8" ht="15" customHeight="1" x14ac:dyDescent="0.25">
      <c r="A124" s="83" t="s">
        <v>256</v>
      </c>
      <c r="B124" s="83"/>
      <c r="C124" s="83"/>
      <c r="D124" s="61" t="s">
        <v>257</v>
      </c>
      <c r="E124" s="54" t="s">
        <v>54</v>
      </c>
      <c r="F124" s="55">
        <v>1</v>
      </c>
      <c r="G124" s="56">
        <v>50464.59</v>
      </c>
      <c r="H124" s="56">
        <v>50464.59</v>
      </c>
    </row>
    <row r="125" spans="1:8" ht="15" customHeight="1" x14ac:dyDescent="0.25">
      <c r="A125" s="85"/>
      <c r="B125" s="85"/>
      <c r="C125" s="85"/>
      <c r="D125" s="57" t="s">
        <v>202</v>
      </c>
      <c r="E125" s="58"/>
      <c r="F125" s="58"/>
      <c r="G125" s="58"/>
      <c r="H125" s="59">
        <v>50464.59</v>
      </c>
    </row>
    <row r="126" spans="1:8" ht="15" customHeight="1" x14ac:dyDescent="0.25">
      <c r="A126" s="85"/>
      <c r="B126" s="85"/>
      <c r="C126" s="85"/>
      <c r="D126" s="63" t="s">
        <v>7</v>
      </c>
      <c r="E126" s="60"/>
      <c r="F126" s="60"/>
      <c r="G126" s="60"/>
      <c r="H126" s="59">
        <v>143136.68</v>
      </c>
    </row>
    <row r="127" spans="1:8" ht="15" customHeight="1" x14ac:dyDescent="0.25">
      <c r="A127" s="53"/>
      <c r="B127" s="53"/>
      <c r="C127" s="53"/>
      <c r="D127" s="53"/>
      <c r="E127" s="53"/>
      <c r="F127" s="53"/>
      <c r="G127" s="53"/>
      <c r="H127" s="53"/>
    </row>
    <row r="128" spans="1:8" ht="15" customHeight="1" x14ac:dyDescent="0.25">
      <c r="A128" s="53"/>
      <c r="B128" s="53"/>
      <c r="C128" s="53"/>
      <c r="D128" s="53"/>
      <c r="E128" s="53"/>
      <c r="F128" s="53"/>
      <c r="G128" s="53"/>
      <c r="H128" s="53"/>
    </row>
    <row r="129" spans="1:8" ht="15" customHeight="1" x14ac:dyDescent="0.25">
      <c r="A129" s="95"/>
      <c r="B129" s="95"/>
      <c r="C129" s="95"/>
      <c r="D129" s="95"/>
      <c r="E129" s="95"/>
      <c r="F129" s="95" t="s">
        <v>198</v>
      </c>
      <c r="G129" s="95"/>
      <c r="H129" s="95"/>
    </row>
    <row r="130" spans="1:8" ht="15" customHeight="1" x14ac:dyDescent="0.25">
      <c r="A130" s="65"/>
      <c r="B130" s="65"/>
      <c r="C130" s="65"/>
      <c r="D130" s="91"/>
      <c r="E130" s="91"/>
      <c r="F130" s="89" t="s">
        <v>184</v>
      </c>
      <c r="G130" s="90"/>
      <c r="H130" s="90"/>
    </row>
    <row r="131" spans="1:8" ht="15" customHeight="1" x14ac:dyDescent="0.25">
      <c r="A131" s="92"/>
      <c r="B131" s="53"/>
      <c r="C131" s="92"/>
      <c r="D131" s="91"/>
      <c r="E131" s="91"/>
      <c r="F131" s="89"/>
      <c r="G131" s="90"/>
      <c r="H131" s="90"/>
    </row>
    <row r="132" spans="1:8" ht="15" customHeight="1" x14ac:dyDescent="0.25">
      <c r="A132" s="92"/>
      <c r="B132" s="53"/>
      <c r="C132" s="92"/>
      <c r="D132" s="93"/>
      <c r="E132" s="93"/>
      <c r="F132" s="64" t="s">
        <v>185</v>
      </c>
      <c r="G132" s="94"/>
      <c r="H132" s="94"/>
    </row>
    <row r="133" spans="1:8" ht="15" customHeight="1" x14ac:dyDescent="0.25">
      <c r="A133" s="92"/>
      <c r="B133" s="53"/>
      <c r="C133" s="92"/>
      <c r="D133" s="87"/>
      <c r="E133" s="87"/>
      <c r="F133" s="64" t="s">
        <v>186</v>
      </c>
      <c r="G133" s="86">
        <v>44294</v>
      </c>
      <c r="H133" s="86"/>
    </row>
    <row r="134" spans="1:8" ht="15" customHeight="1" x14ac:dyDescent="0.25">
      <c r="A134" s="92"/>
      <c r="B134" s="53"/>
      <c r="C134" s="92"/>
      <c r="D134" s="87"/>
      <c r="E134" s="87"/>
      <c r="F134" s="64" t="s">
        <v>187</v>
      </c>
      <c r="G134" s="88" t="s">
        <v>417</v>
      </c>
      <c r="H134" s="88"/>
    </row>
    <row r="135" spans="1:8" ht="15" customHeight="1" x14ac:dyDescent="0.25">
      <c r="A135" s="92"/>
      <c r="B135" s="53"/>
      <c r="C135" s="92"/>
      <c r="D135" s="83"/>
      <c r="E135" s="83"/>
      <c r="F135" s="89"/>
      <c r="G135" s="89"/>
      <c r="H135" s="89"/>
    </row>
    <row r="136" spans="1:8" ht="15" customHeight="1" x14ac:dyDescent="0.25">
      <c r="A136" s="65"/>
      <c r="B136" s="65"/>
      <c r="C136" s="65"/>
      <c r="D136" s="83"/>
      <c r="E136" s="83"/>
      <c r="F136" s="89"/>
      <c r="G136" s="89"/>
      <c r="H136" s="89"/>
    </row>
    <row r="137" spans="1:8" ht="15" customHeight="1" x14ac:dyDescent="0.25">
      <c r="A137" s="90" t="s">
        <v>188</v>
      </c>
      <c r="B137" s="90"/>
      <c r="C137" s="90"/>
      <c r="D137" s="90"/>
      <c r="E137" s="90"/>
      <c r="F137" s="90"/>
      <c r="G137" s="90"/>
      <c r="H137" s="90"/>
    </row>
    <row r="138" spans="1:8" ht="15" customHeight="1" x14ac:dyDescent="0.25">
      <c r="A138" s="82" t="s">
        <v>189</v>
      </c>
      <c r="B138" s="82"/>
      <c r="C138" s="82"/>
      <c r="D138" s="82"/>
      <c r="E138" s="82"/>
      <c r="F138" s="82"/>
      <c r="G138" s="82"/>
      <c r="H138" s="82"/>
    </row>
    <row r="139" spans="1:8" ht="15" customHeight="1" x14ac:dyDescent="0.25">
      <c r="A139" s="83" t="s">
        <v>264</v>
      </c>
      <c r="B139" s="83"/>
      <c r="C139" s="83"/>
      <c r="D139" s="83" t="s">
        <v>179</v>
      </c>
      <c r="E139" s="83"/>
      <c r="F139" s="83"/>
      <c r="G139" s="83"/>
      <c r="H139" s="54" t="s">
        <v>54</v>
      </c>
    </row>
    <row r="140" spans="1:8" ht="15" customHeight="1" x14ac:dyDescent="0.25">
      <c r="A140" s="84" t="s">
        <v>190</v>
      </c>
      <c r="B140" s="84"/>
      <c r="C140" s="84"/>
      <c r="D140" s="62" t="s">
        <v>57</v>
      </c>
      <c r="E140" s="62" t="s">
        <v>191</v>
      </c>
      <c r="F140" s="62" t="s">
        <v>192</v>
      </c>
      <c r="G140" s="62" t="s">
        <v>193</v>
      </c>
      <c r="H140" s="62" t="s">
        <v>194</v>
      </c>
    </row>
    <row r="141" spans="1:8" ht="15" customHeight="1" x14ac:dyDescent="0.25">
      <c r="A141" s="85"/>
      <c r="B141" s="85"/>
      <c r="C141" s="85"/>
      <c r="D141" s="63" t="s">
        <v>195</v>
      </c>
      <c r="E141" s="53"/>
      <c r="F141" s="53"/>
      <c r="G141" s="53"/>
      <c r="H141" s="53"/>
    </row>
    <row r="142" spans="1:8" ht="15" customHeight="1" x14ac:dyDescent="0.25">
      <c r="A142" s="83" t="s">
        <v>265</v>
      </c>
      <c r="B142" s="83"/>
      <c r="C142" s="83"/>
      <c r="D142" s="61" t="s">
        <v>266</v>
      </c>
      <c r="E142" s="54" t="s">
        <v>53</v>
      </c>
      <c r="F142" s="55">
        <v>2.398E-3</v>
      </c>
      <c r="G142" s="56">
        <v>45702.03</v>
      </c>
      <c r="H142" s="56">
        <v>109.59</v>
      </c>
    </row>
    <row r="143" spans="1:8" ht="15" customHeight="1" x14ac:dyDescent="0.25">
      <c r="A143" s="83" t="s">
        <v>203</v>
      </c>
      <c r="B143" s="83"/>
      <c r="C143" s="83"/>
      <c r="D143" s="61" t="s">
        <v>204</v>
      </c>
      <c r="E143" s="54" t="s">
        <v>205</v>
      </c>
      <c r="F143" s="55">
        <v>4.1946999999999998E-2</v>
      </c>
      <c r="G143" s="56">
        <v>25014.01</v>
      </c>
      <c r="H143" s="56">
        <v>1049.26</v>
      </c>
    </row>
    <row r="144" spans="1:8" ht="15" customHeight="1" x14ac:dyDescent="0.25">
      <c r="A144" s="83" t="s">
        <v>267</v>
      </c>
      <c r="B144" s="83"/>
      <c r="C144" s="83"/>
      <c r="D144" s="61" t="s">
        <v>268</v>
      </c>
      <c r="E144" s="54" t="s">
        <v>54</v>
      </c>
      <c r="F144" s="55">
        <v>2.9430000000000001E-2</v>
      </c>
      <c r="G144" s="56">
        <v>30459</v>
      </c>
      <c r="H144" s="56">
        <v>896.41</v>
      </c>
    </row>
    <row r="145" spans="1:8" ht="15" customHeight="1" x14ac:dyDescent="0.25">
      <c r="A145" s="83" t="s">
        <v>269</v>
      </c>
      <c r="B145" s="83"/>
      <c r="C145" s="83"/>
      <c r="D145" s="61" t="s">
        <v>270</v>
      </c>
      <c r="E145" s="54" t="s">
        <v>50</v>
      </c>
      <c r="F145" s="55">
        <v>6.4041000000000001E-2</v>
      </c>
      <c r="G145" s="56">
        <v>1045.69</v>
      </c>
      <c r="H145" s="56">
        <v>66.97</v>
      </c>
    </row>
    <row r="146" spans="1:8" ht="15" customHeight="1" x14ac:dyDescent="0.25">
      <c r="A146" s="85"/>
      <c r="B146" s="85"/>
      <c r="C146" s="85"/>
      <c r="D146" s="57" t="s">
        <v>196</v>
      </c>
      <c r="E146" s="58"/>
      <c r="F146" s="58"/>
      <c r="G146" s="58"/>
      <c r="H146" s="59">
        <v>2122.23</v>
      </c>
    </row>
    <row r="147" spans="1:8" ht="15" customHeight="1" x14ac:dyDescent="0.25">
      <c r="A147" s="85"/>
      <c r="B147" s="85"/>
      <c r="C147" s="85"/>
      <c r="D147" s="63" t="s">
        <v>201</v>
      </c>
      <c r="E147" s="53"/>
      <c r="F147" s="53"/>
      <c r="G147" s="53"/>
      <c r="H147" s="53"/>
    </row>
    <row r="148" spans="1:8" ht="15" customHeight="1" x14ac:dyDescent="0.25">
      <c r="A148" s="83" t="s">
        <v>271</v>
      </c>
      <c r="B148" s="83"/>
      <c r="C148" s="83"/>
      <c r="D148" s="61" t="s">
        <v>272</v>
      </c>
      <c r="E148" s="54" t="s">
        <v>54</v>
      </c>
      <c r="F148" s="55">
        <v>1</v>
      </c>
      <c r="G148" s="56">
        <v>6516.85</v>
      </c>
      <c r="H148" s="56">
        <v>6516.85</v>
      </c>
    </row>
    <row r="149" spans="1:8" ht="15" customHeight="1" x14ac:dyDescent="0.25">
      <c r="A149" s="85"/>
      <c r="B149" s="85"/>
      <c r="C149" s="85"/>
      <c r="D149" s="57" t="s">
        <v>202</v>
      </c>
      <c r="E149" s="58"/>
      <c r="F149" s="58"/>
      <c r="G149" s="58"/>
      <c r="H149" s="59">
        <v>6516.85</v>
      </c>
    </row>
    <row r="150" spans="1:8" ht="15" customHeight="1" x14ac:dyDescent="0.25">
      <c r="A150" s="85"/>
      <c r="B150" s="85"/>
      <c r="C150" s="85"/>
      <c r="D150" s="63" t="s">
        <v>209</v>
      </c>
      <c r="E150" s="53"/>
      <c r="F150" s="53"/>
      <c r="G150" s="53"/>
      <c r="H150" s="53"/>
    </row>
    <row r="151" spans="1:8" ht="15" customHeight="1" x14ac:dyDescent="0.25">
      <c r="A151" s="83" t="s">
        <v>273</v>
      </c>
      <c r="B151" s="83"/>
      <c r="C151" s="83"/>
      <c r="D151" s="61" t="s">
        <v>274</v>
      </c>
      <c r="E151" s="54" t="s">
        <v>53</v>
      </c>
      <c r="F151" s="55">
        <v>2.398E-3</v>
      </c>
      <c r="G151" s="56">
        <v>28237</v>
      </c>
      <c r="H151" s="56">
        <v>67.709999999999994</v>
      </c>
    </row>
    <row r="152" spans="1:8" ht="15" customHeight="1" x14ac:dyDescent="0.25">
      <c r="A152" s="85"/>
      <c r="B152" s="85"/>
      <c r="C152" s="85"/>
      <c r="D152" s="57" t="s">
        <v>210</v>
      </c>
      <c r="E152" s="58"/>
      <c r="F152" s="58"/>
      <c r="G152" s="58"/>
      <c r="H152" s="59">
        <v>67.709999999999994</v>
      </c>
    </row>
    <row r="153" spans="1:8" ht="15" customHeight="1" x14ac:dyDescent="0.25">
      <c r="A153" s="85"/>
      <c r="B153" s="85"/>
      <c r="C153" s="85"/>
      <c r="D153" s="63" t="s">
        <v>7</v>
      </c>
      <c r="E153" s="60"/>
      <c r="F153" s="60"/>
      <c r="G153" s="60"/>
      <c r="H153" s="59">
        <v>8706.7900000000009</v>
      </c>
    </row>
    <row r="154" spans="1:8" ht="15" customHeight="1" x14ac:dyDescent="0.25">
      <c r="A154" s="53"/>
      <c r="B154" s="53"/>
      <c r="C154" s="53"/>
      <c r="D154" s="53"/>
      <c r="E154" s="53"/>
      <c r="F154" s="53"/>
      <c r="G154" s="53"/>
      <c r="H154" s="53"/>
    </row>
    <row r="155" spans="1:8" ht="15" customHeight="1" x14ac:dyDescent="0.25">
      <c r="A155" s="53"/>
      <c r="B155" s="53"/>
      <c r="C155" s="53"/>
      <c r="D155" s="53"/>
      <c r="E155" s="53"/>
      <c r="F155" s="53"/>
      <c r="G155" s="53"/>
      <c r="H155" s="53"/>
    </row>
    <row r="156" spans="1:8" ht="15" customHeight="1" x14ac:dyDescent="0.25">
      <c r="A156" s="95"/>
      <c r="B156" s="95"/>
      <c r="C156" s="95"/>
      <c r="D156" s="95"/>
      <c r="E156" s="95"/>
      <c r="F156" s="95" t="s">
        <v>198</v>
      </c>
      <c r="G156" s="95"/>
      <c r="H156" s="95"/>
    </row>
    <row r="157" spans="1:8" ht="15" customHeight="1" x14ac:dyDescent="0.25">
      <c r="A157" s="65"/>
      <c r="B157" s="65"/>
      <c r="C157" s="65"/>
      <c r="D157" s="91"/>
      <c r="E157" s="91"/>
      <c r="F157" s="89" t="s">
        <v>184</v>
      </c>
      <c r="G157" s="90"/>
      <c r="H157" s="90"/>
    </row>
    <row r="158" spans="1:8" ht="15" customHeight="1" x14ac:dyDescent="0.25">
      <c r="A158" s="92"/>
      <c r="B158" s="53"/>
      <c r="C158" s="92"/>
      <c r="D158" s="91"/>
      <c r="E158" s="91"/>
      <c r="F158" s="89"/>
      <c r="G158" s="90"/>
      <c r="H158" s="90"/>
    </row>
    <row r="159" spans="1:8" ht="15" customHeight="1" x14ac:dyDescent="0.25">
      <c r="A159" s="92"/>
      <c r="B159" s="53"/>
      <c r="C159" s="92"/>
      <c r="D159" s="93"/>
      <c r="E159" s="93"/>
      <c r="F159" s="64" t="s">
        <v>185</v>
      </c>
      <c r="G159" s="94"/>
      <c r="H159" s="94"/>
    </row>
    <row r="160" spans="1:8" ht="15" customHeight="1" x14ac:dyDescent="0.25">
      <c r="A160" s="92"/>
      <c r="B160" s="53"/>
      <c r="C160" s="92"/>
      <c r="D160" s="87"/>
      <c r="E160" s="87"/>
      <c r="F160" s="64" t="s">
        <v>186</v>
      </c>
      <c r="G160" s="86">
        <v>44294</v>
      </c>
      <c r="H160" s="86"/>
    </row>
    <row r="161" spans="1:8" ht="15" customHeight="1" x14ac:dyDescent="0.25">
      <c r="A161" s="92"/>
      <c r="B161" s="53"/>
      <c r="C161" s="92"/>
      <c r="D161" s="87"/>
      <c r="E161" s="87"/>
      <c r="F161" s="64" t="s">
        <v>187</v>
      </c>
      <c r="G161" s="88" t="s">
        <v>418</v>
      </c>
      <c r="H161" s="88"/>
    </row>
    <row r="162" spans="1:8" ht="15" customHeight="1" x14ac:dyDescent="0.25">
      <c r="A162" s="92"/>
      <c r="B162" s="53"/>
      <c r="C162" s="92"/>
      <c r="D162" s="83"/>
      <c r="E162" s="83"/>
      <c r="F162" s="89"/>
      <c r="G162" s="89"/>
      <c r="H162" s="89"/>
    </row>
    <row r="163" spans="1:8" ht="15" customHeight="1" x14ac:dyDescent="0.25">
      <c r="A163" s="65"/>
      <c r="B163" s="65"/>
      <c r="C163" s="65"/>
      <c r="D163" s="83"/>
      <c r="E163" s="83"/>
      <c r="F163" s="89"/>
      <c r="G163" s="89"/>
      <c r="H163" s="89"/>
    </row>
    <row r="164" spans="1:8" ht="15" customHeight="1" x14ac:dyDescent="0.25">
      <c r="A164" s="90" t="s">
        <v>188</v>
      </c>
      <c r="B164" s="90"/>
      <c r="C164" s="90"/>
      <c r="D164" s="90"/>
      <c r="E164" s="90"/>
      <c r="F164" s="90"/>
      <c r="G164" s="90"/>
      <c r="H164" s="90"/>
    </row>
    <row r="165" spans="1:8" ht="15" customHeight="1" x14ac:dyDescent="0.25">
      <c r="A165" s="82" t="s">
        <v>189</v>
      </c>
      <c r="B165" s="82"/>
      <c r="C165" s="82"/>
      <c r="D165" s="82"/>
      <c r="E165" s="82"/>
      <c r="F165" s="82"/>
      <c r="G165" s="82"/>
      <c r="H165" s="82"/>
    </row>
    <row r="166" spans="1:8" ht="15" customHeight="1" x14ac:dyDescent="0.25">
      <c r="A166" s="83" t="s">
        <v>275</v>
      </c>
      <c r="B166" s="83"/>
      <c r="C166" s="83"/>
      <c r="D166" s="83" t="s">
        <v>37</v>
      </c>
      <c r="E166" s="83"/>
      <c r="F166" s="83"/>
      <c r="G166" s="83"/>
      <c r="H166" s="54" t="s">
        <v>54</v>
      </c>
    </row>
    <row r="167" spans="1:8" ht="15" customHeight="1" x14ac:dyDescent="0.25">
      <c r="A167" s="84" t="s">
        <v>190</v>
      </c>
      <c r="B167" s="84"/>
      <c r="C167" s="84"/>
      <c r="D167" s="62" t="s">
        <v>57</v>
      </c>
      <c r="E167" s="62" t="s">
        <v>191</v>
      </c>
      <c r="F167" s="62" t="s">
        <v>192</v>
      </c>
      <c r="G167" s="62" t="s">
        <v>193</v>
      </c>
      <c r="H167" s="62" t="s">
        <v>194</v>
      </c>
    </row>
    <row r="168" spans="1:8" ht="15" customHeight="1" x14ac:dyDescent="0.25">
      <c r="A168" s="85"/>
      <c r="B168" s="85"/>
      <c r="C168" s="85"/>
      <c r="D168" s="63" t="s">
        <v>195</v>
      </c>
      <c r="E168" s="53"/>
      <c r="F168" s="53"/>
      <c r="G168" s="53"/>
      <c r="H168" s="53"/>
    </row>
    <row r="169" spans="1:8" ht="15" customHeight="1" x14ac:dyDescent="0.25">
      <c r="A169" s="83" t="s">
        <v>276</v>
      </c>
      <c r="B169" s="83"/>
      <c r="C169" s="83"/>
      <c r="D169" s="61" t="s">
        <v>277</v>
      </c>
      <c r="E169" s="54" t="s">
        <v>50</v>
      </c>
      <c r="F169" s="55">
        <v>9.9414000000000002E-2</v>
      </c>
      <c r="G169" s="56">
        <v>7575.96</v>
      </c>
      <c r="H169" s="56">
        <v>753.16</v>
      </c>
    </row>
    <row r="170" spans="1:8" ht="15" customHeight="1" x14ac:dyDescent="0.25">
      <c r="A170" s="83" t="s">
        <v>278</v>
      </c>
      <c r="B170" s="83"/>
      <c r="C170" s="83"/>
      <c r="D170" s="61" t="s">
        <v>279</v>
      </c>
      <c r="E170" s="54" t="s">
        <v>51</v>
      </c>
      <c r="F170" s="55">
        <v>3.0192E-2</v>
      </c>
      <c r="G170" s="56">
        <v>3927</v>
      </c>
      <c r="H170" s="56">
        <v>118.56</v>
      </c>
    </row>
    <row r="171" spans="1:8" ht="15" customHeight="1" x14ac:dyDescent="0.25">
      <c r="A171" s="83" t="s">
        <v>280</v>
      </c>
      <c r="B171" s="83"/>
      <c r="C171" s="83"/>
      <c r="D171" s="61" t="s">
        <v>281</v>
      </c>
      <c r="E171" s="54" t="s">
        <v>51</v>
      </c>
      <c r="F171" s="55">
        <v>3.68E-4</v>
      </c>
      <c r="G171" s="56">
        <v>7827.82</v>
      </c>
      <c r="H171" s="56">
        <v>2.88</v>
      </c>
    </row>
    <row r="172" spans="1:8" ht="15" customHeight="1" x14ac:dyDescent="0.25">
      <c r="A172" s="83" t="s">
        <v>222</v>
      </c>
      <c r="B172" s="83"/>
      <c r="C172" s="83"/>
      <c r="D172" s="61" t="s">
        <v>223</v>
      </c>
      <c r="E172" s="54" t="s">
        <v>51</v>
      </c>
      <c r="F172" s="55">
        <v>0</v>
      </c>
      <c r="G172" s="56">
        <v>330</v>
      </c>
      <c r="H172" s="56">
        <v>0</v>
      </c>
    </row>
    <row r="173" spans="1:8" ht="15" customHeight="1" x14ac:dyDescent="0.25">
      <c r="A173" s="83" t="s">
        <v>226</v>
      </c>
      <c r="B173" s="83"/>
      <c r="C173" s="83"/>
      <c r="D173" s="61" t="s">
        <v>227</v>
      </c>
      <c r="E173" s="54" t="s">
        <v>51</v>
      </c>
      <c r="F173" s="55">
        <v>5.2283999999999997E-2</v>
      </c>
      <c r="G173" s="56">
        <v>297.36</v>
      </c>
      <c r="H173" s="56">
        <v>15.55</v>
      </c>
    </row>
    <row r="174" spans="1:8" ht="15" customHeight="1" x14ac:dyDescent="0.25">
      <c r="A174" s="83" t="s">
        <v>224</v>
      </c>
      <c r="B174" s="83"/>
      <c r="C174" s="83"/>
      <c r="D174" s="61" t="s">
        <v>225</v>
      </c>
      <c r="E174" s="54" t="s">
        <v>51</v>
      </c>
      <c r="F174" s="55">
        <v>0.55229899999999998</v>
      </c>
      <c r="G174" s="56">
        <v>550</v>
      </c>
      <c r="H174" s="56">
        <v>303.76</v>
      </c>
    </row>
    <row r="175" spans="1:8" ht="15" customHeight="1" x14ac:dyDescent="0.25">
      <c r="A175" s="83" t="s">
        <v>282</v>
      </c>
      <c r="B175" s="83"/>
      <c r="C175" s="83"/>
      <c r="D175" s="61" t="s">
        <v>283</v>
      </c>
      <c r="E175" s="54" t="s">
        <v>51</v>
      </c>
      <c r="F175" s="55">
        <v>0.02</v>
      </c>
      <c r="G175" s="56">
        <v>160101.70000000001</v>
      </c>
      <c r="H175" s="56">
        <v>3202.03</v>
      </c>
    </row>
    <row r="176" spans="1:8" ht="15" customHeight="1" x14ac:dyDescent="0.25">
      <c r="A176" s="83" t="s">
        <v>228</v>
      </c>
      <c r="B176" s="83"/>
      <c r="C176" s="83"/>
      <c r="D176" s="61" t="s">
        <v>229</v>
      </c>
      <c r="E176" s="54" t="s">
        <v>51</v>
      </c>
      <c r="F176" s="55">
        <v>0.55230000000000001</v>
      </c>
      <c r="G176" s="56">
        <v>550</v>
      </c>
      <c r="H176" s="56">
        <v>303.77</v>
      </c>
    </row>
    <row r="177" spans="1:8" ht="15" customHeight="1" x14ac:dyDescent="0.25">
      <c r="A177" s="83" t="s">
        <v>230</v>
      </c>
      <c r="B177" s="83"/>
      <c r="C177" s="83"/>
      <c r="D177" s="61" t="s">
        <v>231</v>
      </c>
      <c r="E177" s="54" t="s">
        <v>51</v>
      </c>
      <c r="F177" s="55">
        <v>0.55230000000000001</v>
      </c>
      <c r="G177" s="56">
        <v>458.15</v>
      </c>
      <c r="H177" s="56">
        <v>253.04</v>
      </c>
    </row>
    <row r="178" spans="1:8" ht="15" customHeight="1" x14ac:dyDescent="0.25">
      <c r="A178" s="83" t="s">
        <v>284</v>
      </c>
      <c r="B178" s="83"/>
      <c r="C178" s="83"/>
      <c r="D178" s="61" t="s">
        <v>285</v>
      </c>
      <c r="E178" s="54" t="s">
        <v>51</v>
      </c>
      <c r="F178" s="55">
        <v>6.6280000000000002E-3</v>
      </c>
      <c r="G178" s="56">
        <v>4925.59</v>
      </c>
      <c r="H178" s="56">
        <v>32.65</v>
      </c>
    </row>
    <row r="179" spans="1:8" ht="15" customHeight="1" x14ac:dyDescent="0.25">
      <c r="A179" s="83" t="s">
        <v>286</v>
      </c>
      <c r="B179" s="83"/>
      <c r="C179" s="83"/>
      <c r="D179" s="61" t="s">
        <v>287</v>
      </c>
      <c r="E179" s="54" t="s">
        <v>205</v>
      </c>
      <c r="F179" s="55">
        <v>2.9459999999999998E-3</v>
      </c>
      <c r="G179" s="56">
        <v>7700</v>
      </c>
      <c r="H179" s="56">
        <v>22.68</v>
      </c>
    </row>
    <row r="180" spans="1:8" ht="15" customHeight="1" x14ac:dyDescent="0.25">
      <c r="A180" s="83" t="s">
        <v>288</v>
      </c>
      <c r="B180" s="83"/>
      <c r="C180" s="83"/>
      <c r="D180" s="61" t="s">
        <v>289</v>
      </c>
      <c r="E180" s="54" t="s">
        <v>50</v>
      </c>
      <c r="F180" s="55">
        <v>7.36E-4</v>
      </c>
      <c r="G180" s="56">
        <v>7068.6</v>
      </c>
      <c r="H180" s="56">
        <v>5.2</v>
      </c>
    </row>
    <row r="181" spans="1:8" ht="15" customHeight="1" x14ac:dyDescent="0.25">
      <c r="A181" s="83" t="s">
        <v>290</v>
      </c>
      <c r="B181" s="83"/>
      <c r="C181" s="83"/>
      <c r="D181" s="61" t="s">
        <v>291</v>
      </c>
      <c r="E181" s="54" t="s">
        <v>52</v>
      </c>
      <c r="F181" s="55">
        <v>7.1390000000000004E-3</v>
      </c>
      <c r="G181" s="56">
        <v>72096.98</v>
      </c>
      <c r="H181" s="56">
        <v>514.70000000000005</v>
      </c>
    </row>
    <row r="182" spans="1:8" ht="15" customHeight="1" x14ac:dyDescent="0.25">
      <c r="A182" s="83" t="s">
        <v>292</v>
      </c>
      <c r="B182" s="83"/>
      <c r="C182" s="83"/>
      <c r="D182" s="61" t="s">
        <v>293</v>
      </c>
      <c r="E182" s="54" t="s">
        <v>51</v>
      </c>
      <c r="F182" s="55">
        <v>1.4729999999999999E-3</v>
      </c>
      <c r="G182" s="56">
        <v>3078.66</v>
      </c>
      <c r="H182" s="56">
        <v>4.53</v>
      </c>
    </row>
    <row r="183" spans="1:8" ht="15" customHeight="1" x14ac:dyDescent="0.25">
      <c r="A183" s="83" t="s">
        <v>294</v>
      </c>
      <c r="B183" s="83"/>
      <c r="C183" s="83"/>
      <c r="D183" s="61" t="s">
        <v>295</v>
      </c>
      <c r="E183" s="54" t="s">
        <v>51</v>
      </c>
      <c r="F183" s="55">
        <v>1.841E-3</v>
      </c>
      <c r="G183" s="56">
        <v>153676.51999999999</v>
      </c>
      <c r="H183" s="56">
        <v>282.92</v>
      </c>
    </row>
    <row r="184" spans="1:8" ht="15" customHeight="1" x14ac:dyDescent="0.25">
      <c r="A184" s="83" t="s">
        <v>296</v>
      </c>
      <c r="B184" s="83"/>
      <c r="C184" s="83"/>
      <c r="D184" s="61" t="s">
        <v>297</v>
      </c>
      <c r="E184" s="54" t="s">
        <v>50</v>
      </c>
      <c r="F184" s="55">
        <v>7.36E-4</v>
      </c>
      <c r="G184" s="56">
        <v>12485.66</v>
      </c>
      <c r="H184" s="56">
        <v>9.19</v>
      </c>
    </row>
    <row r="185" spans="1:8" ht="15" customHeight="1" x14ac:dyDescent="0.25">
      <c r="A185" s="83" t="s">
        <v>298</v>
      </c>
      <c r="B185" s="83"/>
      <c r="C185" s="83"/>
      <c r="D185" s="61" t="s">
        <v>299</v>
      </c>
      <c r="E185" s="54" t="s">
        <v>51</v>
      </c>
      <c r="F185" s="55">
        <v>1.4728E-2</v>
      </c>
      <c r="G185" s="56">
        <v>24750</v>
      </c>
      <c r="H185" s="56">
        <v>364.52</v>
      </c>
    </row>
    <row r="186" spans="1:8" ht="15" customHeight="1" x14ac:dyDescent="0.25">
      <c r="A186" s="83" t="s">
        <v>300</v>
      </c>
      <c r="B186" s="83"/>
      <c r="C186" s="83"/>
      <c r="D186" s="61" t="s">
        <v>301</v>
      </c>
      <c r="E186" s="54" t="s">
        <v>51</v>
      </c>
      <c r="F186" s="55">
        <v>3.6819999999999999E-3</v>
      </c>
      <c r="G186" s="56">
        <v>16235.44</v>
      </c>
      <c r="H186" s="56">
        <v>59.78</v>
      </c>
    </row>
    <row r="187" spans="1:8" ht="15" customHeight="1" x14ac:dyDescent="0.25">
      <c r="A187" s="83" t="s">
        <v>302</v>
      </c>
      <c r="B187" s="83"/>
      <c r="C187" s="83"/>
      <c r="D187" s="61" t="s">
        <v>303</v>
      </c>
      <c r="E187" s="54" t="s">
        <v>51</v>
      </c>
      <c r="F187" s="55">
        <v>1.4729999999999999E-3</v>
      </c>
      <c r="G187" s="56">
        <v>44000</v>
      </c>
      <c r="H187" s="56">
        <v>64.81</v>
      </c>
    </row>
    <row r="188" spans="1:8" ht="15" customHeight="1" x14ac:dyDescent="0.25">
      <c r="A188" s="83" t="s">
        <v>304</v>
      </c>
      <c r="B188" s="83"/>
      <c r="C188" s="83"/>
      <c r="D188" s="61" t="s">
        <v>305</v>
      </c>
      <c r="E188" s="54" t="s">
        <v>51</v>
      </c>
      <c r="F188" s="55">
        <v>4.4180000000000001E-3</v>
      </c>
      <c r="G188" s="56">
        <v>26504.5</v>
      </c>
      <c r="H188" s="56">
        <v>117.1</v>
      </c>
    </row>
    <row r="189" spans="1:8" ht="15" customHeight="1" x14ac:dyDescent="0.25">
      <c r="A189" s="83" t="s">
        <v>306</v>
      </c>
      <c r="B189" s="83"/>
      <c r="C189" s="83"/>
      <c r="D189" s="61" t="s">
        <v>307</v>
      </c>
      <c r="E189" s="54" t="s">
        <v>50</v>
      </c>
      <c r="F189" s="55">
        <v>1.1046E-2</v>
      </c>
      <c r="G189" s="56">
        <v>5671.47</v>
      </c>
      <c r="H189" s="56">
        <v>62.65</v>
      </c>
    </row>
    <row r="190" spans="1:8" ht="15" customHeight="1" x14ac:dyDescent="0.25">
      <c r="A190" s="83" t="s">
        <v>308</v>
      </c>
      <c r="B190" s="83"/>
      <c r="C190" s="83"/>
      <c r="D190" s="61" t="s">
        <v>309</v>
      </c>
      <c r="E190" s="54" t="s">
        <v>208</v>
      </c>
      <c r="F190" s="55">
        <v>1.4729999999999999E-3</v>
      </c>
      <c r="G190" s="56">
        <v>2218.9299999999998</v>
      </c>
      <c r="H190" s="56">
        <v>3.27</v>
      </c>
    </row>
    <row r="191" spans="1:8" ht="15" customHeight="1" x14ac:dyDescent="0.25">
      <c r="A191" s="83" t="s">
        <v>310</v>
      </c>
      <c r="B191" s="83"/>
      <c r="C191" s="83"/>
      <c r="D191" s="61" t="s">
        <v>311</v>
      </c>
      <c r="E191" s="54" t="s">
        <v>208</v>
      </c>
      <c r="F191" s="55">
        <v>4.2342999999999999E-2</v>
      </c>
      <c r="G191" s="56">
        <v>3076.15</v>
      </c>
      <c r="H191" s="56">
        <v>130.25</v>
      </c>
    </row>
    <row r="192" spans="1:8" ht="15" customHeight="1" x14ac:dyDescent="0.25">
      <c r="A192" s="83" t="s">
        <v>218</v>
      </c>
      <c r="B192" s="83"/>
      <c r="C192" s="83"/>
      <c r="D192" s="61" t="s">
        <v>219</v>
      </c>
      <c r="E192" s="54" t="s">
        <v>208</v>
      </c>
      <c r="F192" s="55">
        <v>3.7925E-2</v>
      </c>
      <c r="G192" s="56">
        <v>3076.15</v>
      </c>
      <c r="H192" s="56">
        <v>116.66</v>
      </c>
    </row>
    <row r="193" spans="1:8" ht="15" customHeight="1" x14ac:dyDescent="0.25">
      <c r="A193" s="83" t="s">
        <v>220</v>
      </c>
      <c r="B193" s="83"/>
      <c r="C193" s="83"/>
      <c r="D193" s="61" t="s">
        <v>221</v>
      </c>
      <c r="E193" s="54" t="s">
        <v>208</v>
      </c>
      <c r="F193" s="55">
        <v>3.2770000000000001E-2</v>
      </c>
      <c r="G193" s="56">
        <v>3076.15</v>
      </c>
      <c r="H193" s="56">
        <v>100.81</v>
      </c>
    </row>
    <row r="194" spans="1:8" ht="15" customHeight="1" x14ac:dyDescent="0.25">
      <c r="A194" s="83" t="s">
        <v>312</v>
      </c>
      <c r="B194" s="83"/>
      <c r="C194" s="83"/>
      <c r="D194" s="61" t="s">
        <v>313</v>
      </c>
      <c r="E194" s="54" t="s">
        <v>50</v>
      </c>
      <c r="F194" s="55">
        <v>3.1340000000000001E-3</v>
      </c>
      <c r="G194" s="56">
        <v>270466.89</v>
      </c>
      <c r="H194" s="56">
        <v>847.64</v>
      </c>
    </row>
    <row r="195" spans="1:8" ht="15" customHeight="1" x14ac:dyDescent="0.25">
      <c r="A195" s="83" t="s">
        <v>314</v>
      </c>
      <c r="B195" s="83"/>
      <c r="C195" s="83"/>
      <c r="D195" s="61" t="s">
        <v>315</v>
      </c>
      <c r="E195" s="54" t="s">
        <v>316</v>
      </c>
      <c r="F195" s="55">
        <v>3.68E-4</v>
      </c>
      <c r="G195" s="56">
        <v>11191.95</v>
      </c>
      <c r="H195" s="56">
        <v>4.12</v>
      </c>
    </row>
    <row r="196" spans="1:8" ht="15" customHeight="1" x14ac:dyDescent="0.25">
      <c r="A196" s="85"/>
      <c r="B196" s="85"/>
      <c r="C196" s="85"/>
      <c r="D196" s="57" t="s">
        <v>196</v>
      </c>
      <c r="E196" s="58"/>
      <c r="F196" s="58"/>
      <c r="G196" s="58"/>
      <c r="H196" s="59">
        <v>7696.23</v>
      </c>
    </row>
    <row r="197" spans="1:8" ht="15" customHeight="1" x14ac:dyDescent="0.25">
      <c r="A197" s="85"/>
      <c r="B197" s="85"/>
      <c r="C197" s="85"/>
      <c r="D197" s="63" t="s">
        <v>201</v>
      </c>
      <c r="E197" s="53"/>
      <c r="F197" s="53"/>
      <c r="G197" s="53"/>
      <c r="H197" s="53"/>
    </row>
    <row r="198" spans="1:8" ht="15" customHeight="1" x14ac:dyDescent="0.25">
      <c r="A198" s="83" t="s">
        <v>206</v>
      </c>
      <c r="B198" s="83"/>
      <c r="C198" s="83"/>
      <c r="D198" s="61" t="s">
        <v>207</v>
      </c>
      <c r="E198" s="54" t="s">
        <v>208</v>
      </c>
      <c r="F198" s="55">
        <v>3.68E-4</v>
      </c>
      <c r="G198" s="56">
        <v>3481.94</v>
      </c>
      <c r="H198" s="56">
        <v>1.28</v>
      </c>
    </row>
    <row r="199" spans="1:8" ht="15" customHeight="1" x14ac:dyDescent="0.25">
      <c r="A199" s="85"/>
      <c r="B199" s="85"/>
      <c r="C199" s="85"/>
      <c r="D199" s="57" t="s">
        <v>202</v>
      </c>
      <c r="E199" s="58"/>
      <c r="F199" s="58"/>
      <c r="G199" s="58"/>
      <c r="H199" s="59">
        <v>1.28</v>
      </c>
    </row>
    <row r="200" spans="1:8" ht="15" customHeight="1" x14ac:dyDescent="0.25">
      <c r="A200" s="85"/>
      <c r="B200" s="85"/>
      <c r="C200" s="85"/>
      <c r="D200" s="63" t="s">
        <v>317</v>
      </c>
      <c r="E200" s="53"/>
      <c r="F200" s="53"/>
      <c r="G200" s="53"/>
      <c r="H200" s="53"/>
    </row>
    <row r="201" spans="1:8" ht="15" customHeight="1" x14ac:dyDescent="0.25">
      <c r="A201" s="83" t="s">
        <v>318</v>
      </c>
      <c r="B201" s="83"/>
      <c r="C201" s="83"/>
      <c r="D201" s="61" t="s">
        <v>319</v>
      </c>
      <c r="E201" s="54" t="s">
        <v>51</v>
      </c>
      <c r="F201" s="55">
        <v>1.0529999999999999E-3</v>
      </c>
      <c r="G201" s="56">
        <v>99826.44</v>
      </c>
      <c r="H201" s="56">
        <v>105.12</v>
      </c>
    </row>
    <row r="202" spans="1:8" ht="15" customHeight="1" x14ac:dyDescent="0.25">
      <c r="A202" s="83" t="s">
        <v>320</v>
      </c>
      <c r="B202" s="83"/>
      <c r="C202" s="83"/>
      <c r="D202" s="61" t="s">
        <v>321</v>
      </c>
      <c r="E202" s="54" t="s">
        <v>322</v>
      </c>
      <c r="F202" s="55">
        <v>3.4345680000000001</v>
      </c>
      <c r="G202" s="56">
        <v>56.29</v>
      </c>
      <c r="H202" s="56">
        <v>193.33</v>
      </c>
    </row>
    <row r="203" spans="1:8" ht="15" customHeight="1" x14ac:dyDescent="0.25">
      <c r="A203" s="83" t="s">
        <v>323</v>
      </c>
      <c r="B203" s="83"/>
      <c r="C203" s="83"/>
      <c r="D203" s="61" t="s">
        <v>324</v>
      </c>
      <c r="E203" s="54" t="s">
        <v>322</v>
      </c>
      <c r="F203" s="55">
        <v>1.483109</v>
      </c>
      <c r="G203" s="56">
        <v>285.36</v>
      </c>
      <c r="H203" s="56">
        <v>423.22</v>
      </c>
    </row>
    <row r="204" spans="1:8" ht="15" customHeight="1" x14ac:dyDescent="0.25">
      <c r="A204" s="83" t="s">
        <v>325</v>
      </c>
      <c r="B204" s="83"/>
      <c r="C204" s="83"/>
      <c r="D204" s="61" t="s">
        <v>326</v>
      </c>
      <c r="E204" s="54" t="s">
        <v>322</v>
      </c>
      <c r="F204" s="55">
        <v>16.704491000000001</v>
      </c>
      <c r="G204" s="56">
        <v>212.06</v>
      </c>
      <c r="H204" s="56">
        <v>3542.35</v>
      </c>
    </row>
    <row r="205" spans="1:8" ht="15" customHeight="1" x14ac:dyDescent="0.25">
      <c r="A205" s="83" t="s">
        <v>327</v>
      </c>
      <c r="B205" s="83"/>
      <c r="C205" s="83"/>
      <c r="D205" s="61" t="s">
        <v>328</v>
      </c>
      <c r="E205" s="54" t="s">
        <v>322</v>
      </c>
      <c r="F205" s="55">
        <v>0.46834999999999999</v>
      </c>
      <c r="G205" s="56">
        <v>424.12</v>
      </c>
      <c r="H205" s="56">
        <v>198.64</v>
      </c>
    </row>
    <row r="206" spans="1:8" ht="15" customHeight="1" x14ac:dyDescent="0.25">
      <c r="A206" s="83" t="s">
        <v>329</v>
      </c>
      <c r="B206" s="83"/>
      <c r="C206" s="83"/>
      <c r="D206" s="61" t="s">
        <v>330</v>
      </c>
      <c r="E206" s="54" t="s">
        <v>51</v>
      </c>
      <c r="F206" s="55">
        <v>1.07E-4</v>
      </c>
      <c r="G206" s="56">
        <v>421489.4</v>
      </c>
      <c r="H206" s="56">
        <v>45.1</v>
      </c>
    </row>
    <row r="207" spans="1:8" ht="15" customHeight="1" x14ac:dyDescent="0.25">
      <c r="A207" s="83" t="s">
        <v>331</v>
      </c>
      <c r="B207" s="83"/>
      <c r="C207" s="83"/>
      <c r="D207" s="61" t="s">
        <v>332</v>
      </c>
      <c r="E207" s="54" t="s">
        <v>322</v>
      </c>
      <c r="F207" s="55">
        <v>7.8058000000000002E-2</v>
      </c>
      <c r="G207" s="56">
        <v>99.48</v>
      </c>
      <c r="H207" s="56">
        <v>7.77</v>
      </c>
    </row>
    <row r="208" spans="1:8" ht="15" customHeight="1" x14ac:dyDescent="0.25">
      <c r="A208" s="83" t="s">
        <v>333</v>
      </c>
      <c r="B208" s="83"/>
      <c r="C208" s="83"/>
      <c r="D208" s="61" t="s">
        <v>334</v>
      </c>
      <c r="E208" s="54" t="s">
        <v>322</v>
      </c>
      <c r="F208" s="55">
        <v>3</v>
      </c>
      <c r="G208" s="56">
        <v>108.65</v>
      </c>
      <c r="H208" s="56">
        <v>325.95</v>
      </c>
    </row>
    <row r="209" spans="1:8" ht="15" customHeight="1" x14ac:dyDescent="0.25">
      <c r="A209" s="83" t="s">
        <v>335</v>
      </c>
      <c r="B209" s="83"/>
      <c r="C209" s="83"/>
      <c r="D209" s="61" t="s">
        <v>336</v>
      </c>
      <c r="E209" s="54" t="s">
        <v>322</v>
      </c>
      <c r="F209" s="55">
        <v>9.3670039999999997</v>
      </c>
      <c r="G209" s="56">
        <v>136.13999999999999</v>
      </c>
      <c r="H209" s="56">
        <v>1275.22</v>
      </c>
    </row>
    <row r="210" spans="1:8" ht="15" customHeight="1" x14ac:dyDescent="0.25">
      <c r="A210" s="83" t="s">
        <v>337</v>
      </c>
      <c r="B210" s="83"/>
      <c r="C210" s="83"/>
      <c r="D210" s="61" t="s">
        <v>338</v>
      </c>
      <c r="E210" s="54" t="s">
        <v>322</v>
      </c>
      <c r="F210" s="55">
        <v>9.8743839999999992</v>
      </c>
      <c r="G210" s="56">
        <v>286.67</v>
      </c>
      <c r="H210" s="56">
        <v>2830.69</v>
      </c>
    </row>
    <row r="211" spans="1:8" ht="15" customHeight="1" x14ac:dyDescent="0.25">
      <c r="A211" s="83" t="s">
        <v>339</v>
      </c>
      <c r="B211" s="83"/>
      <c r="C211" s="83"/>
      <c r="D211" s="61" t="s">
        <v>340</v>
      </c>
      <c r="E211" s="54" t="s">
        <v>322</v>
      </c>
      <c r="F211" s="55">
        <v>1.1318459999999999</v>
      </c>
      <c r="G211" s="56">
        <v>442.44</v>
      </c>
      <c r="H211" s="56">
        <v>500.77</v>
      </c>
    </row>
    <row r="212" spans="1:8" ht="15" customHeight="1" x14ac:dyDescent="0.25">
      <c r="A212" s="85"/>
      <c r="B212" s="85"/>
      <c r="C212" s="85"/>
      <c r="D212" s="57" t="s">
        <v>341</v>
      </c>
      <c r="E212" s="58"/>
      <c r="F212" s="58"/>
      <c r="G212" s="58"/>
      <c r="H212" s="59">
        <v>9448.16</v>
      </c>
    </row>
    <row r="213" spans="1:8" ht="15" customHeight="1" x14ac:dyDescent="0.25">
      <c r="A213" s="85"/>
      <c r="B213" s="85"/>
      <c r="C213" s="85"/>
      <c r="D213" s="63" t="s">
        <v>7</v>
      </c>
      <c r="E213" s="60"/>
      <c r="F213" s="60"/>
      <c r="G213" s="60"/>
      <c r="H213" s="59">
        <v>17145.669999999998</v>
      </c>
    </row>
    <row r="214" spans="1:8" ht="15" customHeight="1" x14ac:dyDescent="0.25">
      <c r="A214" s="53"/>
      <c r="B214" s="53"/>
      <c r="C214" s="53"/>
      <c r="D214" s="53"/>
      <c r="E214" s="53"/>
      <c r="F214" s="53"/>
      <c r="G214" s="53"/>
      <c r="H214" s="53"/>
    </row>
    <row r="215" spans="1:8" ht="15" customHeight="1" x14ac:dyDescent="0.25">
      <c r="A215" s="95"/>
      <c r="B215" s="95"/>
      <c r="C215" s="95"/>
      <c r="D215" s="95"/>
      <c r="E215" s="95"/>
      <c r="F215" s="95" t="s">
        <v>198</v>
      </c>
      <c r="G215" s="95"/>
      <c r="H215" s="95"/>
    </row>
    <row r="216" spans="1:8" ht="15" customHeight="1" x14ac:dyDescent="0.25">
      <c r="A216" s="65"/>
      <c r="B216" s="65"/>
      <c r="C216" s="65"/>
      <c r="D216" s="91"/>
      <c r="E216" s="91"/>
      <c r="F216" s="89" t="s">
        <v>184</v>
      </c>
      <c r="G216" s="90"/>
      <c r="H216" s="90"/>
    </row>
    <row r="217" spans="1:8" ht="15" customHeight="1" x14ac:dyDescent="0.25">
      <c r="A217" s="92"/>
      <c r="B217" s="53"/>
      <c r="C217" s="92"/>
      <c r="D217" s="91"/>
      <c r="E217" s="91"/>
      <c r="F217" s="89"/>
      <c r="G217" s="90"/>
      <c r="H217" s="90"/>
    </row>
    <row r="218" spans="1:8" ht="15" customHeight="1" x14ac:dyDescent="0.25">
      <c r="A218" s="92"/>
      <c r="B218" s="53"/>
      <c r="C218" s="92"/>
      <c r="D218" s="93"/>
      <c r="E218" s="93"/>
      <c r="F218" s="64" t="s">
        <v>185</v>
      </c>
      <c r="G218" s="94"/>
      <c r="H218" s="94"/>
    </row>
    <row r="219" spans="1:8" ht="15" customHeight="1" x14ac:dyDescent="0.25">
      <c r="A219" s="92"/>
      <c r="B219" s="53"/>
      <c r="C219" s="92"/>
      <c r="D219" s="87"/>
      <c r="E219" s="87"/>
      <c r="F219" s="64" t="s">
        <v>186</v>
      </c>
      <c r="G219" s="86">
        <v>44294</v>
      </c>
      <c r="H219" s="86"/>
    </row>
    <row r="220" spans="1:8" ht="15" customHeight="1" x14ac:dyDescent="0.25">
      <c r="A220" s="92"/>
      <c r="B220" s="53"/>
      <c r="C220" s="92"/>
      <c r="D220" s="87"/>
      <c r="E220" s="87"/>
      <c r="F220" s="64" t="s">
        <v>187</v>
      </c>
      <c r="G220" s="88" t="s">
        <v>419</v>
      </c>
      <c r="H220" s="88"/>
    </row>
    <row r="221" spans="1:8" ht="15" customHeight="1" x14ac:dyDescent="0.25">
      <c r="A221" s="92"/>
      <c r="B221" s="53"/>
      <c r="C221" s="92"/>
      <c r="D221" s="83"/>
      <c r="E221" s="83"/>
      <c r="F221" s="89"/>
      <c r="G221" s="89"/>
      <c r="H221" s="89"/>
    </row>
    <row r="222" spans="1:8" ht="15" customHeight="1" x14ac:dyDescent="0.25">
      <c r="A222" s="65"/>
      <c r="B222" s="65"/>
      <c r="C222" s="65"/>
      <c r="D222" s="83"/>
      <c r="E222" s="83"/>
      <c r="F222" s="89"/>
      <c r="G222" s="89"/>
      <c r="H222" s="89"/>
    </row>
    <row r="223" spans="1:8" ht="15" customHeight="1" x14ac:dyDescent="0.25">
      <c r="A223" s="90" t="s">
        <v>188</v>
      </c>
      <c r="B223" s="90"/>
      <c r="C223" s="90"/>
      <c r="D223" s="90"/>
      <c r="E223" s="90"/>
      <c r="F223" s="90"/>
      <c r="G223" s="90"/>
      <c r="H223" s="90"/>
    </row>
    <row r="224" spans="1:8" ht="15" customHeight="1" x14ac:dyDescent="0.25">
      <c r="A224" s="82" t="s">
        <v>189</v>
      </c>
      <c r="B224" s="82"/>
      <c r="C224" s="82"/>
      <c r="D224" s="82"/>
      <c r="E224" s="82"/>
      <c r="F224" s="82"/>
      <c r="G224" s="82"/>
      <c r="H224" s="82"/>
    </row>
    <row r="225" spans="1:8" ht="15" customHeight="1" x14ac:dyDescent="0.25">
      <c r="A225" s="83" t="s">
        <v>342</v>
      </c>
      <c r="B225" s="83"/>
      <c r="C225" s="83"/>
      <c r="D225" s="83" t="s">
        <v>38</v>
      </c>
      <c r="E225" s="83"/>
      <c r="F225" s="83"/>
      <c r="G225" s="83"/>
      <c r="H225" s="54" t="s">
        <v>50</v>
      </c>
    </row>
    <row r="226" spans="1:8" ht="15" customHeight="1" x14ac:dyDescent="0.25">
      <c r="A226" s="84" t="s">
        <v>190</v>
      </c>
      <c r="B226" s="84"/>
      <c r="C226" s="84"/>
      <c r="D226" s="62" t="s">
        <v>57</v>
      </c>
      <c r="E226" s="62" t="s">
        <v>191</v>
      </c>
      <c r="F226" s="62" t="s">
        <v>192</v>
      </c>
      <c r="G226" s="62" t="s">
        <v>193</v>
      </c>
      <c r="H226" s="62" t="s">
        <v>194</v>
      </c>
    </row>
    <row r="227" spans="1:8" ht="15" customHeight="1" x14ac:dyDescent="0.25">
      <c r="A227" s="85"/>
      <c r="B227" s="85"/>
      <c r="C227" s="85"/>
      <c r="D227" s="63" t="s">
        <v>195</v>
      </c>
      <c r="E227" s="53"/>
      <c r="F227" s="53"/>
      <c r="G227" s="53"/>
      <c r="H227" s="53"/>
    </row>
    <row r="228" spans="1:8" ht="15" customHeight="1" x14ac:dyDescent="0.25">
      <c r="A228" s="83" t="s">
        <v>217</v>
      </c>
      <c r="B228" s="83"/>
      <c r="C228" s="83"/>
      <c r="D228" s="61" t="s">
        <v>409</v>
      </c>
      <c r="E228" s="54" t="s">
        <v>50</v>
      </c>
      <c r="F228" s="55">
        <v>0.15</v>
      </c>
      <c r="G228" s="56">
        <v>5100</v>
      </c>
      <c r="H228" s="56">
        <v>765</v>
      </c>
    </row>
    <row r="229" spans="1:8" ht="15" customHeight="1" x14ac:dyDescent="0.25">
      <c r="A229" s="83" t="s">
        <v>234</v>
      </c>
      <c r="B229" s="83"/>
      <c r="C229" s="83"/>
      <c r="D229" s="61" t="s">
        <v>235</v>
      </c>
      <c r="E229" s="54" t="s">
        <v>50</v>
      </c>
      <c r="F229" s="55">
        <v>0.18213299999999999</v>
      </c>
      <c r="G229" s="56">
        <v>4700</v>
      </c>
      <c r="H229" s="56">
        <v>856.03</v>
      </c>
    </row>
    <row r="230" spans="1:8" ht="15" customHeight="1" x14ac:dyDescent="0.25">
      <c r="A230" s="83" t="s">
        <v>236</v>
      </c>
      <c r="B230" s="83"/>
      <c r="C230" s="83"/>
      <c r="D230" s="61" t="s">
        <v>237</v>
      </c>
      <c r="E230" s="54" t="s">
        <v>50</v>
      </c>
      <c r="F230" s="55">
        <v>0.18213299999999999</v>
      </c>
      <c r="G230" s="56">
        <v>4700</v>
      </c>
      <c r="H230" s="56">
        <v>856.03</v>
      </c>
    </row>
    <row r="231" spans="1:8" ht="15" customHeight="1" x14ac:dyDescent="0.25">
      <c r="A231" s="83" t="s">
        <v>199</v>
      </c>
      <c r="B231" s="83"/>
      <c r="C231" s="83"/>
      <c r="D231" s="61" t="s">
        <v>200</v>
      </c>
      <c r="E231" s="54" t="s">
        <v>50</v>
      </c>
      <c r="F231" s="55">
        <v>0.18213299999999999</v>
      </c>
      <c r="G231" s="56">
        <v>4700</v>
      </c>
      <c r="H231" s="56">
        <v>856.03</v>
      </c>
    </row>
    <row r="232" spans="1:8" ht="15" customHeight="1" x14ac:dyDescent="0.25">
      <c r="A232" s="83" t="s">
        <v>232</v>
      </c>
      <c r="B232" s="83"/>
      <c r="C232" s="83"/>
      <c r="D232" s="61" t="s">
        <v>233</v>
      </c>
      <c r="E232" s="54" t="s">
        <v>50</v>
      </c>
      <c r="F232" s="55">
        <v>0.18213299999999999</v>
      </c>
      <c r="G232" s="56">
        <v>4700</v>
      </c>
      <c r="H232" s="56">
        <v>856.03</v>
      </c>
    </row>
    <row r="233" spans="1:8" ht="15" customHeight="1" x14ac:dyDescent="0.25">
      <c r="A233" s="83" t="s">
        <v>240</v>
      </c>
      <c r="B233" s="83"/>
      <c r="C233" s="83"/>
      <c r="D233" s="61" t="s">
        <v>241</v>
      </c>
      <c r="E233" s="54" t="s">
        <v>50</v>
      </c>
      <c r="F233" s="55">
        <v>0.18213299999999999</v>
      </c>
      <c r="G233" s="56">
        <v>4700</v>
      </c>
      <c r="H233" s="56">
        <v>856.03</v>
      </c>
    </row>
    <row r="234" spans="1:8" ht="15" customHeight="1" x14ac:dyDescent="0.25">
      <c r="A234" s="83" t="s">
        <v>343</v>
      </c>
      <c r="B234" s="83"/>
      <c r="C234" s="83"/>
      <c r="D234" s="61" t="s">
        <v>344</v>
      </c>
      <c r="E234" s="54" t="s">
        <v>50</v>
      </c>
      <c r="F234" s="55">
        <v>3.5284999999999997E-2</v>
      </c>
      <c r="G234" s="56">
        <v>3599.75</v>
      </c>
      <c r="H234" s="56">
        <v>127.02</v>
      </c>
    </row>
    <row r="235" spans="1:8" ht="15" customHeight="1" x14ac:dyDescent="0.25">
      <c r="A235" s="83" t="s">
        <v>345</v>
      </c>
      <c r="B235" s="83"/>
      <c r="C235" s="83"/>
      <c r="D235" s="61" t="s">
        <v>346</v>
      </c>
      <c r="E235" s="54" t="s">
        <v>50</v>
      </c>
      <c r="F235" s="55">
        <v>3.5284999999999997E-2</v>
      </c>
      <c r="G235" s="56">
        <v>3599.75</v>
      </c>
      <c r="H235" s="56">
        <v>127.02</v>
      </c>
    </row>
    <row r="236" spans="1:8" ht="15" customHeight="1" x14ac:dyDescent="0.25">
      <c r="A236" s="83" t="s">
        <v>238</v>
      </c>
      <c r="B236" s="83"/>
      <c r="C236" s="83"/>
      <c r="D236" s="61" t="s">
        <v>239</v>
      </c>
      <c r="E236" s="54" t="s">
        <v>50</v>
      </c>
      <c r="F236" s="55">
        <v>3.5284999999999997E-2</v>
      </c>
      <c r="G236" s="56">
        <v>4700</v>
      </c>
      <c r="H236" s="56">
        <v>165.84</v>
      </c>
    </row>
    <row r="237" spans="1:8" ht="15" customHeight="1" x14ac:dyDescent="0.25">
      <c r="A237" s="85"/>
      <c r="B237" s="85"/>
      <c r="C237" s="85"/>
      <c r="D237" s="57" t="s">
        <v>196</v>
      </c>
      <c r="E237" s="58"/>
      <c r="F237" s="58"/>
      <c r="G237" s="58"/>
      <c r="H237" s="59">
        <v>5465.03</v>
      </c>
    </row>
    <row r="238" spans="1:8" ht="15" customHeight="1" x14ac:dyDescent="0.25">
      <c r="A238" s="85"/>
      <c r="B238" s="85"/>
      <c r="C238" s="85"/>
      <c r="D238" s="63" t="s">
        <v>201</v>
      </c>
      <c r="E238" s="53"/>
      <c r="F238" s="53"/>
      <c r="G238" s="53"/>
      <c r="H238" s="53"/>
    </row>
    <row r="239" spans="1:8" ht="15" customHeight="1" x14ac:dyDescent="0.25">
      <c r="A239" s="83" t="s">
        <v>242</v>
      </c>
      <c r="B239" s="83"/>
      <c r="C239" s="83"/>
      <c r="D239" s="61" t="s">
        <v>243</v>
      </c>
      <c r="E239" s="54" t="s">
        <v>50</v>
      </c>
      <c r="F239" s="55">
        <v>1</v>
      </c>
      <c r="G239" s="56">
        <v>212.41</v>
      </c>
      <c r="H239" s="56">
        <v>212.41</v>
      </c>
    </row>
    <row r="240" spans="1:8" ht="15" customHeight="1" x14ac:dyDescent="0.25">
      <c r="A240" s="85"/>
      <c r="B240" s="85"/>
      <c r="C240" s="85"/>
      <c r="D240" s="57" t="s">
        <v>202</v>
      </c>
      <c r="E240" s="58"/>
      <c r="F240" s="58"/>
      <c r="G240" s="58"/>
      <c r="H240" s="59">
        <v>212.41</v>
      </c>
    </row>
    <row r="241" spans="1:8" ht="15" customHeight="1" x14ac:dyDescent="0.25">
      <c r="A241" s="85"/>
      <c r="B241" s="85"/>
      <c r="C241" s="85"/>
      <c r="D241" s="63" t="s">
        <v>7</v>
      </c>
      <c r="E241" s="60"/>
      <c r="F241" s="60"/>
      <c r="G241" s="60"/>
      <c r="H241" s="59">
        <v>5677.44</v>
      </c>
    </row>
    <row r="242" spans="1:8" ht="15" customHeight="1" x14ac:dyDescent="0.25">
      <c r="A242" s="53"/>
      <c r="B242" s="53"/>
      <c r="C242" s="53"/>
      <c r="D242" s="53"/>
      <c r="E242" s="53"/>
      <c r="F242" s="53"/>
      <c r="G242" s="53"/>
      <c r="H242" s="53"/>
    </row>
    <row r="243" spans="1:8" ht="15" customHeight="1" x14ac:dyDescent="0.25">
      <c r="A243" s="95" t="s">
        <v>197</v>
      </c>
      <c r="B243" s="95"/>
      <c r="C243" s="95"/>
      <c r="D243" s="95"/>
      <c r="E243" s="95"/>
      <c r="F243" s="95" t="s">
        <v>198</v>
      </c>
      <c r="G243" s="95"/>
      <c r="H243" s="95"/>
    </row>
    <row r="244" spans="1:8" ht="15" customHeight="1" x14ac:dyDescent="0.25">
      <c r="A244" s="65"/>
      <c r="B244" s="65"/>
      <c r="C244" s="65"/>
      <c r="D244" s="91"/>
      <c r="E244" s="91"/>
      <c r="F244" s="89" t="s">
        <v>184</v>
      </c>
      <c r="G244" s="90"/>
      <c r="H244" s="90"/>
    </row>
    <row r="245" spans="1:8" ht="15" customHeight="1" x14ac:dyDescent="0.25">
      <c r="A245" s="92"/>
      <c r="B245" s="53"/>
      <c r="C245" s="92"/>
      <c r="D245" s="91"/>
      <c r="E245" s="91"/>
      <c r="F245" s="89"/>
      <c r="G245" s="90"/>
      <c r="H245" s="90"/>
    </row>
    <row r="246" spans="1:8" ht="15" customHeight="1" x14ac:dyDescent="0.25">
      <c r="A246" s="92"/>
      <c r="B246" s="53"/>
      <c r="C246" s="92"/>
      <c r="D246" s="93"/>
      <c r="E246" s="93"/>
      <c r="F246" s="64" t="s">
        <v>185</v>
      </c>
      <c r="G246" s="94"/>
      <c r="H246" s="94"/>
    </row>
    <row r="247" spans="1:8" ht="15" customHeight="1" x14ac:dyDescent="0.25">
      <c r="A247" s="92"/>
      <c r="B247" s="53"/>
      <c r="C247" s="92"/>
      <c r="D247" s="87"/>
      <c r="E247" s="87"/>
      <c r="F247" s="64" t="s">
        <v>186</v>
      </c>
      <c r="G247" s="86">
        <v>44294</v>
      </c>
      <c r="H247" s="86"/>
    </row>
    <row r="248" spans="1:8" ht="15" customHeight="1" x14ac:dyDescent="0.25">
      <c r="A248" s="92"/>
      <c r="B248" s="53"/>
      <c r="C248" s="92"/>
      <c r="D248" s="87"/>
      <c r="E248" s="87"/>
      <c r="F248" s="64" t="s">
        <v>187</v>
      </c>
      <c r="G248" s="88" t="s">
        <v>420</v>
      </c>
      <c r="H248" s="88"/>
    </row>
    <row r="249" spans="1:8" ht="15" customHeight="1" x14ac:dyDescent="0.25">
      <c r="A249" s="92"/>
      <c r="B249" s="53"/>
      <c r="C249" s="92"/>
      <c r="D249" s="83"/>
      <c r="E249" s="83"/>
      <c r="F249" s="89"/>
      <c r="G249" s="89"/>
      <c r="H249" s="89"/>
    </row>
    <row r="250" spans="1:8" ht="15" customHeight="1" x14ac:dyDescent="0.25">
      <c r="A250" s="65"/>
      <c r="B250" s="65"/>
      <c r="C250" s="65"/>
      <c r="D250" s="83"/>
      <c r="E250" s="83"/>
      <c r="F250" s="89"/>
      <c r="G250" s="89"/>
      <c r="H250" s="89"/>
    </row>
    <row r="251" spans="1:8" ht="15" customHeight="1" x14ac:dyDescent="0.25">
      <c r="A251" s="90" t="s">
        <v>188</v>
      </c>
      <c r="B251" s="90"/>
      <c r="C251" s="90"/>
      <c r="D251" s="90"/>
      <c r="E251" s="90"/>
      <c r="F251" s="90"/>
      <c r="G251" s="90"/>
      <c r="H251" s="90"/>
    </row>
    <row r="252" spans="1:8" ht="15" customHeight="1" x14ac:dyDescent="0.25">
      <c r="A252" s="82" t="s">
        <v>189</v>
      </c>
      <c r="B252" s="82"/>
      <c r="C252" s="82"/>
      <c r="D252" s="82"/>
      <c r="E252" s="82"/>
      <c r="F252" s="82"/>
      <c r="G252" s="82"/>
      <c r="H252" s="82"/>
    </row>
    <row r="253" spans="1:8" ht="15" customHeight="1" x14ac:dyDescent="0.25">
      <c r="A253" s="83" t="s">
        <v>347</v>
      </c>
      <c r="B253" s="83"/>
      <c r="C253" s="83"/>
      <c r="D253" s="83" t="s">
        <v>39</v>
      </c>
      <c r="E253" s="83"/>
      <c r="F253" s="83"/>
      <c r="G253" s="83"/>
      <c r="H253" s="54" t="s">
        <v>50</v>
      </c>
    </row>
    <row r="254" spans="1:8" ht="15" customHeight="1" x14ac:dyDescent="0.25">
      <c r="A254" s="84" t="s">
        <v>190</v>
      </c>
      <c r="B254" s="84"/>
      <c r="C254" s="84"/>
      <c r="D254" s="62" t="s">
        <v>57</v>
      </c>
      <c r="E254" s="62" t="s">
        <v>191</v>
      </c>
      <c r="F254" s="62" t="s">
        <v>192</v>
      </c>
      <c r="G254" s="62" t="s">
        <v>193</v>
      </c>
      <c r="H254" s="62" t="s">
        <v>194</v>
      </c>
    </row>
    <row r="255" spans="1:8" ht="15" customHeight="1" x14ac:dyDescent="0.25">
      <c r="A255" s="85"/>
      <c r="B255" s="85"/>
      <c r="C255" s="85"/>
      <c r="D255" s="63" t="s">
        <v>195</v>
      </c>
      <c r="E255" s="53"/>
      <c r="F255" s="53"/>
      <c r="G255" s="53"/>
      <c r="H255" s="53"/>
    </row>
    <row r="256" spans="1:8" ht="15" customHeight="1" x14ac:dyDescent="0.25">
      <c r="A256" s="83" t="s">
        <v>217</v>
      </c>
      <c r="B256" s="83"/>
      <c r="C256" s="83"/>
      <c r="D256" s="61" t="s">
        <v>409</v>
      </c>
      <c r="E256" s="54" t="s">
        <v>50</v>
      </c>
      <c r="F256" s="55">
        <v>1.8248E-2</v>
      </c>
      <c r="G256" s="56">
        <v>5100</v>
      </c>
      <c r="H256" s="56">
        <v>93.06</v>
      </c>
    </row>
    <row r="257" spans="1:8" ht="15" customHeight="1" x14ac:dyDescent="0.25">
      <c r="A257" s="83" t="s">
        <v>244</v>
      </c>
      <c r="B257" s="83"/>
      <c r="C257" s="83"/>
      <c r="D257" s="61" t="s">
        <v>410</v>
      </c>
      <c r="E257" s="54" t="s">
        <v>50</v>
      </c>
      <c r="F257" s="55">
        <v>1.0511429999999999</v>
      </c>
      <c r="G257" s="56">
        <v>4674.34</v>
      </c>
      <c r="H257" s="56">
        <v>4913.3999999999996</v>
      </c>
    </row>
    <row r="258" spans="1:8" ht="15" customHeight="1" x14ac:dyDescent="0.25">
      <c r="A258" s="85"/>
      <c r="B258" s="85"/>
      <c r="C258" s="85"/>
      <c r="D258" s="57" t="s">
        <v>196</v>
      </c>
      <c r="E258" s="58"/>
      <c r="F258" s="58"/>
      <c r="G258" s="58"/>
      <c r="H258" s="59">
        <v>5006.46</v>
      </c>
    </row>
    <row r="259" spans="1:8" ht="15" customHeight="1" x14ac:dyDescent="0.25">
      <c r="A259" s="85"/>
      <c r="B259" s="85"/>
      <c r="C259" s="85"/>
      <c r="D259" s="63" t="s">
        <v>201</v>
      </c>
      <c r="E259" s="53"/>
      <c r="F259" s="53"/>
      <c r="G259" s="53"/>
      <c r="H259" s="53"/>
    </row>
    <row r="260" spans="1:8" ht="15" customHeight="1" x14ac:dyDescent="0.25">
      <c r="A260" s="83" t="s">
        <v>242</v>
      </c>
      <c r="B260" s="83"/>
      <c r="C260" s="83"/>
      <c r="D260" s="61" t="s">
        <v>243</v>
      </c>
      <c r="E260" s="54" t="s">
        <v>50</v>
      </c>
      <c r="F260" s="55">
        <v>1</v>
      </c>
      <c r="G260" s="56">
        <v>212.41</v>
      </c>
      <c r="H260" s="56">
        <v>212.41</v>
      </c>
    </row>
    <row r="261" spans="1:8" ht="15" customHeight="1" x14ac:dyDescent="0.25">
      <c r="A261" s="85"/>
      <c r="B261" s="85"/>
      <c r="C261" s="85"/>
      <c r="D261" s="57" t="s">
        <v>202</v>
      </c>
      <c r="E261" s="58"/>
      <c r="F261" s="58"/>
      <c r="G261" s="58"/>
      <c r="H261" s="59">
        <v>212.41</v>
      </c>
    </row>
    <row r="262" spans="1:8" ht="15" customHeight="1" x14ac:dyDescent="0.25">
      <c r="A262" s="85"/>
      <c r="B262" s="85"/>
      <c r="C262" s="85"/>
      <c r="D262" s="63" t="s">
        <v>7</v>
      </c>
      <c r="E262" s="60"/>
      <c r="F262" s="60"/>
      <c r="G262" s="60"/>
      <c r="H262" s="59">
        <v>5218.87</v>
      </c>
    </row>
    <row r="263" spans="1:8" ht="15" customHeight="1" x14ac:dyDescent="0.25">
      <c r="A263" s="53"/>
      <c r="B263" s="53"/>
      <c r="C263" s="53"/>
      <c r="D263" s="53"/>
      <c r="E263" s="53"/>
      <c r="F263" s="53"/>
      <c r="G263" s="53"/>
      <c r="H263" s="53"/>
    </row>
    <row r="264" spans="1:8" ht="15" customHeight="1" x14ac:dyDescent="0.25">
      <c r="A264" s="53"/>
      <c r="B264" s="53"/>
      <c r="C264" s="53"/>
      <c r="D264" s="53"/>
      <c r="E264" s="53"/>
      <c r="F264" s="53"/>
      <c r="G264" s="53"/>
      <c r="H264" s="53"/>
    </row>
    <row r="265" spans="1:8" ht="15" customHeight="1" x14ac:dyDescent="0.25">
      <c r="A265" s="95"/>
      <c r="B265" s="95"/>
      <c r="C265" s="95"/>
      <c r="D265" s="95"/>
      <c r="E265" s="95"/>
      <c r="F265" s="95" t="s">
        <v>198</v>
      </c>
      <c r="G265" s="95"/>
      <c r="H265" s="95"/>
    </row>
    <row r="266" spans="1:8" ht="15" customHeight="1" x14ac:dyDescent="0.25">
      <c r="A266" s="65"/>
      <c r="B266" s="65"/>
      <c r="C266" s="65"/>
      <c r="D266" s="91"/>
      <c r="E266" s="91"/>
      <c r="F266" s="89" t="s">
        <v>184</v>
      </c>
      <c r="G266" s="90"/>
      <c r="H266" s="90"/>
    </row>
    <row r="267" spans="1:8" ht="15" customHeight="1" x14ac:dyDescent="0.25">
      <c r="A267" s="92"/>
      <c r="B267" s="53"/>
      <c r="C267" s="92"/>
      <c r="D267" s="91"/>
      <c r="E267" s="91"/>
      <c r="F267" s="89"/>
      <c r="G267" s="90"/>
      <c r="H267" s="90"/>
    </row>
    <row r="268" spans="1:8" ht="15" customHeight="1" x14ac:dyDescent="0.25">
      <c r="A268" s="92"/>
      <c r="B268" s="53"/>
      <c r="C268" s="92"/>
      <c r="D268" s="93"/>
      <c r="E268" s="93"/>
      <c r="F268" s="64" t="s">
        <v>185</v>
      </c>
      <c r="G268" s="94"/>
      <c r="H268" s="94"/>
    </row>
    <row r="269" spans="1:8" ht="15" customHeight="1" x14ac:dyDescent="0.25">
      <c r="A269" s="92"/>
      <c r="B269" s="53"/>
      <c r="C269" s="92"/>
      <c r="D269" s="87"/>
      <c r="E269" s="87"/>
      <c r="F269" s="64" t="s">
        <v>186</v>
      </c>
      <c r="G269" s="86">
        <v>44294</v>
      </c>
      <c r="H269" s="86"/>
    </row>
    <row r="270" spans="1:8" ht="15" customHeight="1" x14ac:dyDescent="0.25">
      <c r="A270" s="92"/>
      <c r="B270" s="53"/>
      <c r="C270" s="92"/>
      <c r="D270" s="87"/>
      <c r="E270" s="87"/>
      <c r="F270" s="64" t="s">
        <v>187</v>
      </c>
      <c r="G270" s="88" t="s">
        <v>421</v>
      </c>
      <c r="H270" s="88"/>
    </row>
    <row r="271" spans="1:8" ht="15" customHeight="1" x14ac:dyDescent="0.25">
      <c r="A271" s="92"/>
      <c r="B271" s="53"/>
      <c r="C271" s="92"/>
      <c r="D271" s="83"/>
      <c r="E271" s="83"/>
      <c r="F271" s="89"/>
      <c r="G271" s="89"/>
      <c r="H271" s="89"/>
    </row>
    <row r="272" spans="1:8" ht="15" customHeight="1" x14ac:dyDescent="0.25">
      <c r="A272" s="65"/>
      <c r="B272" s="65"/>
      <c r="C272" s="65"/>
      <c r="D272" s="83"/>
      <c r="E272" s="83"/>
      <c r="F272" s="89"/>
      <c r="G272" s="89"/>
      <c r="H272" s="89"/>
    </row>
    <row r="273" spans="1:8" ht="15" customHeight="1" x14ac:dyDescent="0.25">
      <c r="A273" s="90" t="s">
        <v>188</v>
      </c>
      <c r="B273" s="90"/>
      <c r="C273" s="90"/>
      <c r="D273" s="90"/>
      <c r="E273" s="90"/>
      <c r="F273" s="90"/>
      <c r="G273" s="90"/>
      <c r="H273" s="90"/>
    </row>
    <row r="274" spans="1:8" ht="15" customHeight="1" x14ac:dyDescent="0.25">
      <c r="A274" s="82" t="s">
        <v>189</v>
      </c>
      <c r="B274" s="82"/>
      <c r="C274" s="82"/>
      <c r="D274" s="82"/>
      <c r="E274" s="82"/>
      <c r="F274" s="82"/>
      <c r="G274" s="82"/>
      <c r="H274" s="82"/>
    </row>
    <row r="275" spans="1:8" ht="15" customHeight="1" x14ac:dyDescent="0.25">
      <c r="A275" s="83" t="s">
        <v>348</v>
      </c>
      <c r="B275" s="83"/>
      <c r="C275" s="83"/>
      <c r="D275" s="83" t="s">
        <v>349</v>
      </c>
      <c r="E275" s="83"/>
      <c r="F275" s="83"/>
      <c r="G275" s="83"/>
      <c r="H275" s="54" t="s">
        <v>52</v>
      </c>
    </row>
    <row r="276" spans="1:8" ht="15" customHeight="1" x14ac:dyDescent="0.25">
      <c r="A276" s="84" t="s">
        <v>190</v>
      </c>
      <c r="B276" s="84"/>
      <c r="C276" s="84"/>
      <c r="D276" s="62" t="s">
        <v>57</v>
      </c>
      <c r="E276" s="62" t="s">
        <v>191</v>
      </c>
      <c r="F276" s="62" t="s">
        <v>192</v>
      </c>
      <c r="G276" s="62" t="s">
        <v>193</v>
      </c>
      <c r="H276" s="62" t="s">
        <v>194</v>
      </c>
    </row>
    <row r="277" spans="1:8" ht="15" customHeight="1" x14ac:dyDescent="0.25">
      <c r="A277" s="85"/>
      <c r="B277" s="85"/>
      <c r="C277" s="85"/>
      <c r="D277" s="63" t="s">
        <v>195</v>
      </c>
      <c r="E277" s="53"/>
      <c r="F277" s="53"/>
      <c r="G277" s="53"/>
      <c r="H277" s="53"/>
    </row>
    <row r="278" spans="1:8" ht="15" customHeight="1" x14ac:dyDescent="0.25">
      <c r="A278" s="83" t="s">
        <v>213</v>
      </c>
      <c r="B278" s="83"/>
      <c r="C278" s="83"/>
      <c r="D278" s="61" t="s">
        <v>214</v>
      </c>
      <c r="E278" s="54" t="s">
        <v>53</v>
      </c>
      <c r="F278" s="55">
        <v>2</v>
      </c>
      <c r="G278" s="56">
        <v>476894.88</v>
      </c>
      <c r="H278" s="56">
        <v>953789.76</v>
      </c>
    </row>
    <row r="279" spans="1:8" ht="15" customHeight="1" x14ac:dyDescent="0.25">
      <c r="A279" s="85"/>
      <c r="B279" s="85"/>
      <c r="C279" s="85"/>
      <c r="D279" s="57" t="s">
        <v>196</v>
      </c>
      <c r="E279" s="58"/>
      <c r="F279" s="58"/>
      <c r="G279" s="58"/>
      <c r="H279" s="59">
        <v>953789.76</v>
      </c>
    </row>
    <row r="280" spans="1:8" ht="15" customHeight="1" x14ac:dyDescent="0.25">
      <c r="A280" s="85"/>
      <c r="B280" s="85"/>
      <c r="C280" s="85"/>
      <c r="D280" s="63" t="s">
        <v>201</v>
      </c>
      <c r="E280" s="53"/>
      <c r="F280" s="53"/>
      <c r="G280" s="53"/>
      <c r="H280" s="53"/>
    </row>
    <row r="281" spans="1:8" ht="15" customHeight="1" x14ac:dyDescent="0.25">
      <c r="A281" s="83" t="s">
        <v>350</v>
      </c>
      <c r="B281" s="83"/>
      <c r="C281" s="83"/>
      <c r="D281" s="61" t="s">
        <v>351</v>
      </c>
      <c r="E281" s="54" t="s">
        <v>352</v>
      </c>
      <c r="F281" s="55">
        <v>1</v>
      </c>
      <c r="G281" s="56">
        <v>30813.200000000001</v>
      </c>
      <c r="H281" s="56">
        <v>30813.200000000001</v>
      </c>
    </row>
    <row r="282" spans="1:8" ht="15" customHeight="1" x14ac:dyDescent="0.25">
      <c r="A282" s="85"/>
      <c r="B282" s="85"/>
      <c r="C282" s="85"/>
      <c r="D282" s="57" t="s">
        <v>202</v>
      </c>
      <c r="E282" s="58"/>
      <c r="F282" s="58"/>
      <c r="G282" s="58"/>
      <c r="H282" s="59">
        <v>30813.200000000001</v>
      </c>
    </row>
    <row r="283" spans="1:8" ht="15" customHeight="1" x14ac:dyDescent="0.25">
      <c r="A283" s="85"/>
      <c r="B283" s="85"/>
      <c r="C283" s="85"/>
      <c r="D283" s="63" t="s">
        <v>7</v>
      </c>
      <c r="E283" s="60"/>
      <c r="F283" s="60"/>
      <c r="G283" s="60"/>
      <c r="H283" s="59">
        <v>984602.96</v>
      </c>
    </row>
    <row r="284" spans="1:8" ht="15" customHeight="1" x14ac:dyDescent="0.25">
      <c r="A284" s="53"/>
      <c r="B284" s="53"/>
      <c r="C284" s="53"/>
      <c r="D284" s="53"/>
      <c r="E284" s="53"/>
      <c r="F284" s="53"/>
      <c r="G284" s="53"/>
      <c r="H284" s="53"/>
    </row>
    <row r="285" spans="1:8" ht="15" customHeight="1" x14ac:dyDescent="0.25">
      <c r="A285" s="53"/>
      <c r="B285" s="53"/>
      <c r="C285" s="53"/>
      <c r="D285" s="53"/>
      <c r="E285" s="53"/>
      <c r="F285" s="53"/>
      <c r="G285" s="53"/>
      <c r="H285" s="53"/>
    </row>
    <row r="286" spans="1:8" ht="15" customHeight="1" x14ac:dyDescent="0.25">
      <c r="A286" s="95"/>
      <c r="B286" s="95"/>
      <c r="C286" s="95"/>
      <c r="D286" s="95"/>
      <c r="E286" s="95"/>
      <c r="F286" s="95" t="s">
        <v>198</v>
      </c>
      <c r="G286" s="95"/>
      <c r="H286" s="95"/>
    </row>
    <row r="287" spans="1:8" ht="15" customHeight="1" x14ac:dyDescent="0.25">
      <c r="A287" s="65"/>
      <c r="B287" s="65"/>
      <c r="C287" s="65"/>
      <c r="D287" s="91"/>
      <c r="E287" s="91"/>
      <c r="F287" s="89" t="s">
        <v>184</v>
      </c>
      <c r="G287" s="90"/>
      <c r="H287" s="90"/>
    </row>
    <row r="288" spans="1:8" ht="15" customHeight="1" x14ac:dyDescent="0.25">
      <c r="A288" s="92"/>
      <c r="B288" s="53"/>
      <c r="C288" s="92"/>
      <c r="D288" s="91"/>
      <c r="E288" s="91"/>
      <c r="F288" s="89"/>
      <c r="G288" s="90"/>
      <c r="H288" s="90"/>
    </row>
    <row r="289" spans="1:8" ht="15" customHeight="1" x14ac:dyDescent="0.25">
      <c r="A289" s="92"/>
      <c r="B289" s="53"/>
      <c r="C289" s="92"/>
      <c r="D289" s="93"/>
      <c r="E289" s="93"/>
      <c r="F289" s="64" t="s">
        <v>185</v>
      </c>
      <c r="G289" s="94"/>
      <c r="H289" s="94"/>
    </row>
    <row r="290" spans="1:8" ht="15" customHeight="1" x14ac:dyDescent="0.25">
      <c r="A290" s="92"/>
      <c r="B290" s="53"/>
      <c r="C290" s="92"/>
      <c r="D290" s="87"/>
      <c r="E290" s="87"/>
      <c r="F290" s="64" t="s">
        <v>186</v>
      </c>
      <c r="G290" s="86">
        <v>44294</v>
      </c>
      <c r="H290" s="86"/>
    </row>
    <row r="291" spans="1:8" ht="15" customHeight="1" x14ac:dyDescent="0.25">
      <c r="A291" s="92"/>
      <c r="B291" s="53"/>
      <c r="C291" s="92"/>
      <c r="D291" s="87"/>
      <c r="E291" s="87"/>
      <c r="F291" s="64" t="s">
        <v>187</v>
      </c>
      <c r="G291" s="88" t="s">
        <v>422</v>
      </c>
      <c r="H291" s="88"/>
    </row>
    <row r="292" spans="1:8" ht="15" customHeight="1" x14ac:dyDescent="0.25">
      <c r="A292" s="92"/>
      <c r="B292" s="53"/>
      <c r="C292" s="92"/>
      <c r="D292" s="83"/>
      <c r="E292" s="83"/>
      <c r="F292" s="89"/>
      <c r="G292" s="89"/>
      <c r="H292" s="89"/>
    </row>
    <row r="293" spans="1:8" ht="15" customHeight="1" x14ac:dyDescent="0.25">
      <c r="A293" s="65"/>
      <c r="B293" s="65"/>
      <c r="C293" s="65"/>
      <c r="D293" s="83"/>
      <c r="E293" s="83"/>
      <c r="F293" s="89"/>
      <c r="G293" s="89"/>
      <c r="H293" s="89"/>
    </row>
    <row r="294" spans="1:8" ht="15" customHeight="1" x14ac:dyDescent="0.25">
      <c r="A294" s="90" t="s">
        <v>188</v>
      </c>
      <c r="B294" s="90"/>
      <c r="C294" s="90"/>
      <c r="D294" s="90"/>
      <c r="E294" s="90"/>
      <c r="F294" s="90"/>
      <c r="G294" s="90"/>
      <c r="H294" s="90"/>
    </row>
    <row r="295" spans="1:8" ht="15" customHeight="1" x14ac:dyDescent="0.25">
      <c r="A295" s="82" t="s">
        <v>189</v>
      </c>
      <c r="B295" s="82"/>
      <c r="C295" s="82"/>
      <c r="D295" s="82"/>
      <c r="E295" s="82"/>
      <c r="F295" s="82"/>
      <c r="G295" s="82"/>
      <c r="H295" s="82"/>
    </row>
    <row r="296" spans="1:8" ht="15" customHeight="1" x14ac:dyDescent="0.25">
      <c r="A296" s="83" t="s">
        <v>353</v>
      </c>
      <c r="B296" s="83"/>
      <c r="C296" s="83"/>
      <c r="D296" s="83" t="s">
        <v>90</v>
      </c>
      <c r="E296" s="83"/>
      <c r="F296" s="83"/>
      <c r="G296" s="83"/>
      <c r="H296" s="54" t="s">
        <v>53</v>
      </c>
    </row>
    <row r="297" spans="1:8" ht="15" customHeight="1" x14ac:dyDescent="0.25">
      <c r="A297" s="84" t="s">
        <v>190</v>
      </c>
      <c r="B297" s="84"/>
      <c r="C297" s="84"/>
      <c r="D297" s="62" t="s">
        <v>57</v>
      </c>
      <c r="E297" s="62" t="s">
        <v>191</v>
      </c>
      <c r="F297" s="62" t="s">
        <v>192</v>
      </c>
      <c r="G297" s="62" t="s">
        <v>193</v>
      </c>
      <c r="H297" s="62" t="s">
        <v>194</v>
      </c>
    </row>
    <row r="298" spans="1:8" ht="15" customHeight="1" x14ac:dyDescent="0.25">
      <c r="A298" s="85"/>
      <c r="B298" s="85"/>
      <c r="C298" s="85"/>
      <c r="D298" s="63" t="s">
        <v>195</v>
      </c>
      <c r="E298" s="53"/>
      <c r="F298" s="53"/>
      <c r="G298" s="53"/>
      <c r="H298" s="53"/>
    </row>
    <row r="299" spans="1:8" ht="15" customHeight="1" x14ac:dyDescent="0.25">
      <c r="A299" s="83" t="s">
        <v>213</v>
      </c>
      <c r="B299" s="83"/>
      <c r="C299" s="83"/>
      <c r="D299" s="61" t="s">
        <v>214</v>
      </c>
      <c r="E299" s="54" t="s">
        <v>53</v>
      </c>
      <c r="F299" s="55">
        <v>1</v>
      </c>
      <c r="G299" s="56">
        <v>476894.88</v>
      </c>
      <c r="H299" s="56">
        <v>476894.88</v>
      </c>
    </row>
    <row r="300" spans="1:8" ht="15" customHeight="1" x14ac:dyDescent="0.25">
      <c r="A300" s="85"/>
      <c r="B300" s="85"/>
      <c r="C300" s="85"/>
      <c r="D300" s="57" t="s">
        <v>196</v>
      </c>
      <c r="E300" s="58"/>
      <c r="F300" s="58"/>
      <c r="G300" s="58"/>
      <c r="H300" s="59">
        <v>476894.88</v>
      </c>
    </row>
    <row r="301" spans="1:8" ht="15" customHeight="1" x14ac:dyDescent="0.25">
      <c r="A301" s="85"/>
      <c r="B301" s="85"/>
      <c r="C301" s="85"/>
      <c r="D301" s="63" t="s">
        <v>201</v>
      </c>
      <c r="E301" s="53"/>
      <c r="F301" s="53"/>
      <c r="G301" s="53"/>
      <c r="H301" s="53"/>
    </row>
    <row r="302" spans="1:8" ht="15" customHeight="1" x14ac:dyDescent="0.25">
      <c r="A302" s="83" t="s">
        <v>215</v>
      </c>
      <c r="B302" s="83"/>
      <c r="C302" s="83"/>
      <c r="D302" s="61" t="s">
        <v>216</v>
      </c>
      <c r="E302" s="54" t="s">
        <v>53</v>
      </c>
      <c r="F302" s="55">
        <v>1</v>
      </c>
      <c r="G302" s="56">
        <v>127108.47</v>
      </c>
      <c r="H302" s="56">
        <v>127108.47</v>
      </c>
    </row>
    <row r="303" spans="1:8" ht="15" customHeight="1" x14ac:dyDescent="0.25">
      <c r="A303" s="85"/>
      <c r="B303" s="85"/>
      <c r="C303" s="85"/>
      <c r="D303" s="57" t="s">
        <v>202</v>
      </c>
      <c r="E303" s="58"/>
      <c r="F303" s="58"/>
      <c r="G303" s="58"/>
      <c r="H303" s="59">
        <v>127108.47</v>
      </c>
    </row>
    <row r="304" spans="1:8" ht="15" customHeight="1" x14ac:dyDescent="0.25">
      <c r="A304" s="85"/>
      <c r="B304" s="85"/>
      <c r="C304" s="85"/>
      <c r="D304" s="63" t="s">
        <v>7</v>
      </c>
      <c r="E304" s="60"/>
      <c r="F304" s="60"/>
      <c r="G304" s="60"/>
      <c r="H304" s="59">
        <v>604003.35</v>
      </c>
    </row>
    <row r="305" spans="1:8" ht="15" customHeight="1" x14ac:dyDescent="0.25">
      <c r="A305" s="53"/>
      <c r="B305" s="53"/>
      <c r="C305" s="53"/>
      <c r="D305" s="53"/>
      <c r="E305" s="53"/>
      <c r="F305" s="53"/>
      <c r="G305" s="53"/>
      <c r="H305" s="53"/>
    </row>
    <row r="306" spans="1:8" ht="15" customHeight="1" x14ac:dyDescent="0.25">
      <c r="A306" s="53"/>
      <c r="B306" s="53"/>
      <c r="C306" s="53"/>
      <c r="D306" s="53"/>
      <c r="E306" s="53"/>
      <c r="F306" s="53"/>
      <c r="G306" s="53"/>
      <c r="H306" s="53"/>
    </row>
    <row r="307" spans="1:8" ht="15" customHeight="1" x14ac:dyDescent="0.25">
      <c r="A307" s="95"/>
      <c r="B307" s="95"/>
      <c r="C307" s="95"/>
      <c r="D307" s="95"/>
      <c r="E307" s="95"/>
      <c r="F307" s="95" t="s">
        <v>198</v>
      </c>
      <c r="G307" s="95"/>
      <c r="H307" s="95"/>
    </row>
    <row r="308" spans="1:8" ht="15" customHeight="1" x14ac:dyDescent="0.25">
      <c r="A308" s="65"/>
      <c r="B308" s="65"/>
      <c r="C308" s="65"/>
      <c r="D308" s="91"/>
      <c r="E308" s="91"/>
      <c r="F308" s="89" t="s">
        <v>184</v>
      </c>
      <c r="G308" s="90"/>
      <c r="H308" s="90"/>
    </row>
    <row r="309" spans="1:8" ht="15" customHeight="1" x14ac:dyDescent="0.25">
      <c r="A309" s="92"/>
      <c r="B309" s="53"/>
      <c r="C309" s="92"/>
      <c r="D309" s="91"/>
      <c r="E309" s="91"/>
      <c r="F309" s="89"/>
      <c r="G309" s="90"/>
      <c r="H309" s="90"/>
    </row>
    <row r="310" spans="1:8" ht="15" customHeight="1" x14ac:dyDescent="0.25">
      <c r="A310" s="92"/>
      <c r="B310" s="53"/>
      <c r="C310" s="92"/>
      <c r="D310" s="93"/>
      <c r="E310" s="93"/>
      <c r="F310" s="64" t="s">
        <v>185</v>
      </c>
      <c r="G310" s="94"/>
      <c r="H310" s="94"/>
    </row>
    <row r="311" spans="1:8" ht="15" customHeight="1" x14ac:dyDescent="0.25">
      <c r="A311" s="92"/>
      <c r="B311" s="53"/>
      <c r="C311" s="92"/>
      <c r="D311" s="87"/>
      <c r="E311" s="87"/>
      <c r="F311" s="64" t="s">
        <v>186</v>
      </c>
      <c r="G311" s="86">
        <v>44294</v>
      </c>
      <c r="H311" s="86"/>
    </row>
    <row r="312" spans="1:8" ht="15" customHeight="1" x14ac:dyDescent="0.25">
      <c r="A312" s="92"/>
      <c r="B312" s="53"/>
      <c r="C312" s="92"/>
      <c r="D312" s="87"/>
      <c r="E312" s="87"/>
      <c r="F312" s="64" t="s">
        <v>187</v>
      </c>
      <c r="G312" s="88" t="s">
        <v>423</v>
      </c>
      <c r="H312" s="88"/>
    </row>
    <row r="313" spans="1:8" ht="15" customHeight="1" x14ac:dyDescent="0.25">
      <c r="A313" s="92"/>
      <c r="B313" s="53"/>
      <c r="C313" s="92"/>
      <c r="D313" s="83"/>
      <c r="E313" s="83"/>
      <c r="F313" s="89"/>
      <c r="G313" s="89"/>
      <c r="H313" s="89"/>
    </row>
    <row r="314" spans="1:8" ht="15" customHeight="1" x14ac:dyDescent="0.25">
      <c r="A314" s="65"/>
      <c r="B314" s="65"/>
      <c r="C314" s="65"/>
      <c r="D314" s="83"/>
      <c r="E314" s="83"/>
      <c r="F314" s="89"/>
      <c r="G314" s="89"/>
      <c r="H314" s="89"/>
    </row>
    <row r="315" spans="1:8" ht="15" customHeight="1" x14ac:dyDescent="0.25">
      <c r="A315" s="90" t="s">
        <v>188</v>
      </c>
      <c r="B315" s="90"/>
      <c r="C315" s="90"/>
      <c r="D315" s="90"/>
      <c r="E315" s="90"/>
      <c r="F315" s="90"/>
      <c r="G315" s="90"/>
      <c r="H315" s="90"/>
    </row>
    <row r="316" spans="1:8" ht="15" customHeight="1" x14ac:dyDescent="0.25">
      <c r="A316" s="82" t="s">
        <v>189</v>
      </c>
      <c r="B316" s="82"/>
      <c r="C316" s="82"/>
      <c r="D316" s="82"/>
      <c r="E316" s="82"/>
      <c r="F316" s="82"/>
      <c r="G316" s="82"/>
      <c r="H316" s="82"/>
    </row>
    <row r="317" spans="1:8" ht="15" customHeight="1" x14ac:dyDescent="0.25">
      <c r="A317" s="83" t="s">
        <v>354</v>
      </c>
      <c r="B317" s="83"/>
      <c r="C317" s="83"/>
      <c r="D317" s="83" t="s">
        <v>76</v>
      </c>
      <c r="E317" s="83"/>
      <c r="F317" s="83"/>
      <c r="G317" s="83"/>
      <c r="H317" s="54" t="s">
        <v>54</v>
      </c>
    </row>
    <row r="318" spans="1:8" ht="15" customHeight="1" x14ac:dyDescent="0.25">
      <c r="A318" s="84" t="s">
        <v>190</v>
      </c>
      <c r="B318" s="84"/>
      <c r="C318" s="84"/>
      <c r="D318" s="62" t="s">
        <v>57</v>
      </c>
      <c r="E318" s="62" t="s">
        <v>191</v>
      </c>
      <c r="F318" s="62" t="s">
        <v>192</v>
      </c>
      <c r="G318" s="62" t="s">
        <v>193</v>
      </c>
      <c r="H318" s="62" t="s">
        <v>194</v>
      </c>
    </row>
    <row r="319" spans="1:8" ht="15" customHeight="1" x14ac:dyDescent="0.25">
      <c r="A319" s="85"/>
      <c r="B319" s="85"/>
      <c r="C319" s="85"/>
      <c r="D319" s="63" t="s">
        <v>195</v>
      </c>
      <c r="E319" s="53"/>
      <c r="F319" s="53"/>
      <c r="G319" s="53"/>
      <c r="H319" s="53"/>
    </row>
    <row r="320" spans="1:8" ht="15" customHeight="1" x14ac:dyDescent="0.25">
      <c r="A320" s="83" t="s">
        <v>355</v>
      </c>
      <c r="B320" s="83"/>
      <c r="C320" s="83"/>
      <c r="D320" s="61" t="s">
        <v>356</v>
      </c>
      <c r="E320" s="54" t="s">
        <v>53</v>
      </c>
      <c r="F320" s="55">
        <v>1</v>
      </c>
      <c r="G320" s="56">
        <v>447678</v>
      </c>
      <c r="H320" s="56">
        <v>447678</v>
      </c>
    </row>
    <row r="321" spans="1:8" ht="15" customHeight="1" x14ac:dyDescent="0.25">
      <c r="A321" s="85"/>
      <c r="B321" s="85"/>
      <c r="C321" s="85"/>
      <c r="D321" s="57" t="s">
        <v>196</v>
      </c>
      <c r="E321" s="58"/>
      <c r="F321" s="58"/>
      <c r="G321" s="58"/>
      <c r="H321" s="59">
        <v>447678</v>
      </c>
    </row>
    <row r="322" spans="1:8" ht="15" customHeight="1" x14ac:dyDescent="0.25">
      <c r="A322" s="85"/>
      <c r="B322" s="85"/>
      <c r="C322" s="85"/>
      <c r="D322" s="63" t="s">
        <v>201</v>
      </c>
      <c r="E322" s="53"/>
      <c r="F322" s="53"/>
      <c r="G322" s="53"/>
      <c r="H322" s="53"/>
    </row>
    <row r="323" spans="1:8" ht="15" customHeight="1" x14ac:dyDescent="0.25">
      <c r="A323" s="83" t="s">
        <v>357</v>
      </c>
      <c r="B323" s="83"/>
      <c r="C323" s="83"/>
      <c r="D323" s="61" t="s">
        <v>358</v>
      </c>
      <c r="E323" s="54" t="s">
        <v>53</v>
      </c>
      <c r="F323" s="55">
        <v>1</v>
      </c>
      <c r="G323" s="56">
        <v>123252.8</v>
      </c>
      <c r="H323" s="56">
        <v>123252.8</v>
      </c>
    </row>
    <row r="324" spans="1:8" ht="15" customHeight="1" x14ac:dyDescent="0.25">
      <c r="A324" s="85"/>
      <c r="B324" s="85"/>
      <c r="C324" s="85"/>
      <c r="D324" s="57" t="s">
        <v>202</v>
      </c>
      <c r="E324" s="58"/>
      <c r="F324" s="58"/>
      <c r="G324" s="58"/>
      <c r="H324" s="59">
        <v>123252.8</v>
      </c>
    </row>
    <row r="325" spans="1:8" ht="15" customHeight="1" x14ac:dyDescent="0.25">
      <c r="A325" s="85"/>
      <c r="B325" s="85"/>
      <c r="C325" s="85"/>
      <c r="D325" s="63" t="s">
        <v>7</v>
      </c>
      <c r="E325" s="60"/>
      <c r="F325" s="60"/>
      <c r="G325" s="60"/>
      <c r="H325" s="59">
        <v>570930.80000000005</v>
      </c>
    </row>
    <row r="326" spans="1:8" ht="15" customHeight="1" x14ac:dyDescent="0.25">
      <c r="A326" s="53"/>
      <c r="B326" s="53"/>
      <c r="C326" s="53"/>
      <c r="D326" s="53"/>
      <c r="E326" s="53"/>
      <c r="F326" s="53"/>
      <c r="G326" s="53"/>
      <c r="H326" s="53"/>
    </row>
    <row r="327" spans="1:8" ht="15" customHeight="1" x14ac:dyDescent="0.25">
      <c r="A327" s="53"/>
      <c r="B327" s="53"/>
      <c r="C327" s="53"/>
      <c r="D327" s="53"/>
      <c r="E327" s="53"/>
      <c r="F327" s="53"/>
      <c r="G327" s="53"/>
      <c r="H327" s="53"/>
    </row>
    <row r="328" spans="1:8" ht="15" customHeight="1" x14ac:dyDescent="0.25">
      <c r="A328" s="95"/>
      <c r="B328" s="95"/>
      <c r="C328" s="95"/>
      <c r="D328" s="95"/>
      <c r="E328" s="95"/>
      <c r="F328" s="95" t="s">
        <v>198</v>
      </c>
      <c r="G328" s="95"/>
      <c r="H328" s="95"/>
    </row>
    <row r="329" spans="1:8" ht="15" customHeight="1" x14ac:dyDescent="0.25">
      <c r="A329" s="65"/>
      <c r="B329" s="65"/>
      <c r="C329" s="65"/>
      <c r="D329" s="91"/>
      <c r="E329" s="91"/>
      <c r="F329" s="89" t="s">
        <v>184</v>
      </c>
      <c r="G329" s="90"/>
      <c r="H329" s="90"/>
    </row>
    <row r="330" spans="1:8" ht="15" customHeight="1" x14ac:dyDescent="0.25">
      <c r="A330" s="92"/>
      <c r="B330" s="53"/>
      <c r="C330" s="92"/>
      <c r="D330" s="91"/>
      <c r="E330" s="91"/>
      <c r="F330" s="89"/>
      <c r="G330" s="90"/>
      <c r="H330" s="90"/>
    </row>
    <row r="331" spans="1:8" ht="15" customHeight="1" x14ac:dyDescent="0.25">
      <c r="A331" s="92"/>
      <c r="B331" s="53"/>
      <c r="C331" s="92"/>
      <c r="D331" s="93"/>
      <c r="E331" s="93"/>
      <c r="F331" s="64" t="s">
        <v>185</v>
      </c>
      <c r="G331" s="94"/>
      <c r="H331" s="94"/>
    </row>
    <row r="332" spans="1:8" ht="15" customHeight="1" x14ac:dyDescent="0.25">
      <c r="A332" s="92"/>
      <c r="B332" s="53"/>
      <c r="C332" s="92"/>
      <c r="D332" s="87"/>
      <c r="E332" s="87"/>
      <c r="F332" s="64" t="s">
        <v>186</v>
      </c>
      <c r="G332" s="86">
        <v>44294</v>
      </c>
      <c r="H332" s="86"/>
    </row>
    <row r="333" spans="1:8" ht="15" customHeight="1" x14ac:dyDescent="0.25">
      <c r="A333" s="92"/>
      <c r="B333" s="53"/>
      <c r="C333" s="92"/>
      <c r="D333" s="87"/>
      <c r="E333" s="87"/>
      <c r="F333" s="64" t="s">
        <v>187</v>
      </c>
      <c r="G333" s="88" t="s">
        <v>424</v>
      </c>
      <c r="H333" s="88"/>
    </row>
    <row r="334" spans="1:8" ht="15" customHeight="1" x14ac:dyDescent="0.25">
      <c r="A334" s="92"/>
      <c r="B334" s="53"/>
      <c r="C334" s="92"/>
      <c r="D334" s="83"/>
      <c r="E334" s="83"/>
      <c r="F334" s="89"/>
      <c r="G334" s="89"/>
      <c r="H334" s="89"/>
    </row>
    <row r="335" spans="1:8" ht="15" customHeight="1" x14ac:dyDescent="0.25">
      <c r="A335" s="65"/>
      <c r="B335" s="65"/>
      <c r="C335" s="65"/>
      <c r="D335" s="83"/>
      <c r="E335" s="83"/>
      <c r="F335" s="89"/>
      <c r="G335" s="89"/>
      <c r="H335" s="89"/>
    </row>
    <row r="336" spans="1:8" ht="15" customHeight="1" x14ac:dyDescent="0.25">
      <c r="A336" s="90" t="s">
        <v>188</v>
      </c>
      <c r="B336" s="90"/>
      <c r="C336" s="90"/>
      <c r="D336" s="90"/>
      <c r="E336" s="90"/>
      <c r="F336" s="90"/>
      <c r="G336" s="90"/>
      <c r="H336" s="90"/>
    </row>
    <row r="337" spans="1:8" ht="15" customHeight="1" x14ac:dyDescent="0.25">
      <c r="A337" s="82" t="s">
        <v>189</v>
      </c>
      <c r="B337" s="82"/>
      <c r="C337" s="82"/>
      <c r="D337" s="82"/>
      <c r="E337" s="82"/>
      <c r="F337" s="82"/>
      <c r="G337" s="82"/>
      <c r="H337" s="82"/>
    </row>
    <row r="338" spans="1:8" ht="15" customHeight="1" x14ac:dyDescent="0.25">
      <c r="A338" s="83" t="s">
        <v>359</v>
      </c>
      <c r="B338" s="83"/>
      <c r="C338" s="83"/>
      <c r="D338" s="83" t="s">
        <v>102</v>
      </c>
      <c r="E338" s="83"/>
      <c r="F338" s="83"/>
      <c r="G338" s="83"/>
      <c r="H338" s="54" t="s">
        <v>53</v>
      </c>
    </row>
    <row r="339" spans="1:8" ht="15" customHeight="1" x14ac:dyDescent="0.25">
      <c r="A339" s="84" t="s">
        <v>190</v>
      </c>
      <c r="B339" s="84"/>
      <c r="C339" s="84"/>
      <c r="D339" s="62" t="s">
        <v>57</v>
      </c>
      <c r="E339" s="62" t="s">
        <v>191</v>
      </c>
      <c r="F339" s="62" t="s">
        <v>192</v>
      </c>
      <c r="G339" s="62" t="s">
        <v>193</v>
      </c>
      <c r="H339" s="62" t="s">
        <v>194</v>
      </c>
    </row>
    <row r="340" spans="1:8" ht="15" customHeight="1" x14ac:dyDescent="0.25">
      <c r="A340" s="85"/>
      <c r="B340" s="85"/>
      <c r="C340" s="85"/>
      <c r="D340" s="63" t="s">
        <v>195</v>
      </c>
      <c r="E340" s="53"/>
      <c r="F340" s="53"/>
      <c r="G340" s="53"/>
      <c r="H340" s="53"/>
    </row>
    <row r="341" spans="1:8" ht="15" customHeight="1" x14ac:dyDescent="0.25">
      <c r="A341" s="83" t="s">
        <v>360</v>
      </c>
      <c r="B341" s="83"/>
      <c r="C341" s="83"/>
      <c r="D341" s="61" t="s">
        <v>361</v>
      </c>
      <c r="E341" s="54" t="s">
        <v>53</v>
      </c>
      <c r="F341" s="55">
        <v>1</v>
      </c>
      <c r="G341" s="56">
        <v>45815</v>
      </c>
      <c r="H341" s="56">
        <v>45815</v>
      </c>
    </row>
    <row r="342" spans="1:8" ht="15" customHeight="1" x14ac:dyDescent="0.25">
      <c r="A342" s="83" t="s">
        <v>203</v>
      </c>
      <c r="B342" s="83"/>
      <c r="C342" s="83"/>
      <c r="D342" s="61" t="s">
        <v>204</v>
      </c>
      <c r="E342" s="54" t="s">
        <v>205</v>
      </c>
      <c r="F342" s="55">
        <v>0.14655000000000001</v>
      </c>
      <c r="G342" s="56">
        <v>25014.01</v>
      </c>
      <c r="H342" s="56">
        <v>3665.8</v>
      </c>
    </row>
    <row r="343" spans="1:8" ht="15" customHeight="1" x14ac:dyDescent="0.25">
      <c r="A343" s="83" t="s">
        <v>362</v>
      </c>
      <c r="B343" s="83"/>
      <c r="C343" s="83"/>
      <c r="D343" s="61" t="s">
        <v>363</v>
      </c>
      <c r="E343" s="54" t="s">
        <v>54</v>
      </c>
      <c r="F343" s="55">
        <v>1.0426</v>
      </c>
      <c r="G343" s="56">
        <v>72525.850000000006</v>
      </c>
      <c r="H343" s="56">
        <v>75615.45</v>
      </c>
    </row>
    <row r="344" spans="1:8" ht="15" customHeight="1" x14ac:dyDescent="0.25">
      <c r="A344" s="83" t="s">
        <v>364</v>
      </c>
      <c r="B344" s="83"/>
      <c r="C344" s="83"/>
      <c r="D344" s="61" t="s">
        <v>365</v>
      </c>
      <c r="E344" s="54" t="s">
        <v>53</v>
      </c>
      <c r="F344" s="55">
        <v>5.862E-3</v>
      </c>
      <c r="G344" s="56">
        <v>30459</v>
      </c>
      <c r="H344" s="56">
        <v>178.55</v>
      </c>
    </row>
    <row r="345" spans="1:8" ht="15" customHeight="1" x14ac:dyDescent="0.25">
      <c r="A345" s="83" t="s">
        <v>366</v>
      </c>
      <c r="B345" s="83"/>
      <c r="C345" s="83"/>
      <c r="D345" s="61" t="s">
        <v>367</v>
      </c>
      <c r="E345" s="54" t="s">
        <v>53</v>
      </c>
      <c r="F345" s="55">
        <v>5.6460000000000003E-2</v>
      </c>
      <c r="G345" s="56">
        <v>138367.20000000001</v>
      </c>
      <c r="H345" s="56">
        <v>7812.21</v>
      </c>
    </row>
    <row r="346" spans="1:8" ht="15" customHeight="1" x14ac:dyDescent="0.25">
      <c r="A346" s="83" t="s">
        <v>211</v>
      </c>
      <c r="B346" s="83"/>
      <c r="C346" s="83"/>
      <c r="D346" s="61" t="s">
        <v>212</v>
      </c>
      <c r="E346" s="54" t="s">
        <v>53</v>
      </c>
      <c r="F346" s="55">
        <v>6.0339999999999998E-2</v>
      </c>
      <c r="G346" s="56">
        <v>422937.9</v>
      </c>
      <c r="H346" s="56">
        <v>25520.07</v>
      </c>
    </row>
    <row r="347" spans="1:8" ht="15" customHeight="1" x14ac:dyDescent="0.25">
      <c r="A347" s="83" t="s">
        <v>368</v>
      </c>
      <c r="B347" s="83"/>
      <c r="C347" s="83"/>
      <c r="D347" s="61" t="s">
        <v>369</v>
      </c>
      <c r="E347" s="54" t="s">
        <v>53</v>
      </c>
      <c r="F347" s="55">
        <v>6.0339999999999998E-2</v>
      </c>
      <c r="G347" s="56">
        <v>180291.23</v>
      </c>
      <c r="H347" s="56">
        <v>10878.77</v>
      </c>
    </row>
    <row r="348" spans="1:8" ht="15" customHeight="1" x14ac:dyDescent="0.25">
      <c r="A348" s="83" t="s">
        <v>370</v>
      </c>
      <c r="B348" s="83"/>
      <c r="C348" s="83"/>
      <c r="D348" s="61" t="s">
        <v>371</v>
      </c>
      <c r="E348" s="54" t="s">
        <v>53</v>
      </c>
      <c r="F348" s="55">
        <v>1</v>
      </c>
      <c r="G348" s="56">
        <v>448623.4</v>
      </c>
      <c r="H348" s="56">
        <v>448623.4</v>
      </c>
    </row>
    <row r="349" spans="1:8" ht="15" customHeight="1" x14ac:dyDescent="0.25">
      <c r="A349" s="85"/>
      <c r="B349" s="85"/>
      <c r="C349" s="85"/>
      <c r="D349" s="57" t="s">
        <v>196</v>
      </c>
      <c r="E349" s="58"/>
      <c r="F349" s="58"/>
      <c r="G349" s="58"/>
      <c r="H349" s="59">
        <v>618109.25</v>
      </c>
    </row>
    <row r="350" spans="1:8" ht="15" customHeight="1" x14ac:dyDescent="0.25">
      <c r="A350" s="85"/>
      <c r="B350" s="85"/>
      <c r="C350" s="85"/>
      <c r="D350" s="63" t="s">
        <v>201</v>
      </c>
      <c r="E350" s="53"/>
      <c r="F350" s="53"/>
      <c r="G350" s="53"/>
      <c r="H350" s="53"/>
    </row>
    <row r="351" spans="1:8" ht="15" customHeight="1" x14ac:dyDescent="0.25">
      <c r="A351" s="83" t="s">
        <v>372</v>
      </c>
      <c r="B351" s="83"/>
      <c r="C351" s="83"/>
      <c r="D351" s="61" t="s">
        <v>373</v>
      </c>
      <c r="E351" s="54" t="s">
        <v>54</v>
      </c>
      <c r="F351" s="55">
        <v>4.0026700000000002</v>
      </c>
      <c r="G351" s="56">
        <v>6984.86</v>
      </c>
      <c r="H351" s="56">
        <v>27958.09</v>
      </c>
    </row>
    <row r="352" spans="1:8" ht="15" customHeight="1" x14ac:dyDescent="0.25">
      <c r="A352" s="83" t="s">
        <v>374</v>
      </c>
      <c r="B352" s="83"/>
      <c r="C352" s="83"/>
      <c r="D352" s="61" t="s">
        <v>375</v>
      </c>
      <c r="E352" s="54" t="s">
        <v>54</v>
      </c>
      <c r="F352" s="55">
        <v>0</v>
      </c>
      <c r="G352" s="56">
        <v>7213.98</v>
      </c>
      <c r="H352" s="56">
        <v>0</v>
      </c>
    </row>
    <row r="353" spans="1:8" ht="15" customHeight="1" x14ac:dyDescent="0.25">
      <c r="A353" s="85"/>
      <c r="B353" s="85"/>
      <c r="C353" s="85"/>
      <c r="D353" s="57" t="s">
        <v>202</v>
      </c>
      <c r="E353" s="58"/>
      <c r="F353" s="58"/>
      <c r="G353" s="58"/>
      <c r="H353" s="59">
        <v>27958.09</v>
      </c>
    </row>
    <row r="354" spans="1:8" ht="15" customHeight="1" x14ac:dyDescent="0.25">
      <c r="A354" s="85"/>
      <c r="B354" s="85"/>
      <c r="C354" s="85"/>
      <c r="D354" s="63" t="s">
        <v>7</v>
      </c>
      <c r="E354" s="60"/>
      <c r="F354" s="60"/>
      <c r="G354" s="60"/>
      <c r="H354" s="59">
        <v>646067.34</v>
      </c>
    </row>
    <row r="355" spans="1:8" ht="15" customHeight="1" x14ac:dyDescent="0.25">
      <c r="A355" s="53"/>
      <c r="B355" s="53"/>
      <c r="C355" s="53"/>
      <c r="D355" s="53"/>
      <c r="E355" s="53"/>
      <c r="F355" s="53"/>
      <c r="G355" s="53"/>
      <c r="H355" s="53"/>
    </row>
    <row r="356" spans="1:8" ht="15" customHeight="1" x14ac:dyDescent="0.25">
      <c r="A356" s="95"/>
      <c r="B356" s="95"/>
      <c r="C356" s="95"/>
      <c r="D356" s="95"/>
      <c r="E356" s="95"/>
      <c r="F356" s="95" t="s">
        <v>198</v>
      </c>
      <c r="G356" s="95"/>
      <c r="H356" s="95"/>
    </row>
    <row r="357" spans="1:8" ht="15" customHeight="1" x14ac:dyDescent="0.25">
      <c r="A357" s="65"/>
      <c r="B357" s="65"/>
      <c r="C357" s="65"/>
      <c r="D357" s="91"/>
      <c r="E357" s="91"/>
      <c r="F357" s="89" t="s">
        <v>184</v>
      </c>
      <c r="G357" s="90"/>
      <c r="H357" s="90"/>
    </row>
    <row r="358" spans="1:8" ht="15" customHeight="1" x14ac:dyDescent="0.25">
      <c r="A358" s="92"/>
      <c r="B358" s="53"/>
      <c r="C358" s="92"/>
      <c r="D358" s="91"/>
      <c r="E358" s="91"/>
      <c r="F358" s="89"/>
      <c r="G358" s="90"/>
      <c r="H358" s="90"/>
    </row>
    <row r="359" spans="1:8" ht="15" customHeight="1" x14ac:dyDescent="0.25">
      <c r="A359" s="92"/>
      <c r="B359" s="53"/>
      <c r="C359" s="92"/>
      <c r="D359" s="93"/>
      <c r="E359" s="93"/>
      <c r="F359" s="64" t="s">
        <v>185</v>
      </c>
      <c r="G359" s="94"/>
      <c r="H359" s="94"/>
    </row>
    <row r="360" spans="1:8" ht="15" customHeight="1" x14ac:dyDescent="0.25">
      <c r="A360" s="92"/>
      <c r="B360" s="53"/>
      <c r="C360" s="92"/>
      <c r="D360" s="87"/>
      <c r="E360" s="87"/>
      <c r="F360" s="64" t="s">
        <v>186</v>
      </c>
      <c r="G360" s="86">
        <v>44294</v>
      </c>
      <c r="H360" s="86"/>
    </row>
    <row r="361" spans="1:8" ht="15" customHeight="1" x14ac:dyDescent="0.25">
      <c r="A361" s="92"/>
      <c r="B361" s="53"/>
      <c r="C361" s="92"/>
      <c r="D361" s="87"/>
      <c r="E361" s="87"/>
      <c r="F361" s="64" t="s">
        <v>187</v>
      </c>
      <c r="G361" s="88" t="s">
        <v>425</v>
      </c>
      <c r="H361" s="88"/>
    </row>
    <row r="362" spans="1:8" ht="15" customHeight="1" x14ac:dyDescent="0.25">
      <c r="A362" s="92"/>
      <c r="B362" s="53"/>
      <c r="C362" s="92"/>
      <c r="D362" s="83"/>
      <c r="E362" s="83"/>
      <c r="F362" s="89"/>
      <c r="G362" s="89"/>
      <c r="H362" s="89"/>
    </row>
    <row r="363" spans="1:8" ht="15" customHeight="1" x14ac:dyDescent="0.25">
      <c r="A363" s="65"/>
      <c r="B363" s="65"/>
      <c r="C363" s="65"/>
      <c r="D363" s="83"/>
      <c r="E363" s="83"/>
      <c r="F363" s="89"/>
      <c r="G363" s="89"/>
      <c r="H363" s="89"/>
    </row>
    <row r="364" spans="1:8" ht="15" customHeight="1" x14ac:dyDescent="0.25">
      <c r="A364" s="90" t="s">
        <v>188</v>
      </c>
      <c r="B364" s="90"/>
      <c r="C364" s="90"/>
      <c r="D364" s="90"/>
      <c r="E364" s="90"/>
      <c r="F364" s="90"/>
      <c r="G364" s="90"/>
      <c r="H364" s="90"/>
    </row>
    <row r="365" spans="1:8" ht="15" customHeight="1" x14ac:dyDescent="0.25">
      <c r="A365" s="82" t="s">
        <v>189</v>
      </c>
      <c r="B365" s="82"/>
      <c r="C365" s="82"/>
      <c r="D365" s="82"/>
      <c r="E365" s="82"/>
      <c r="F365" s="82"/>
      <c r="G365" s="82"/>
      <c r="H365" s="82"/>
    </row>
    <row r="366" spans="1:8" ht="15" customHeight="1" x14ac:dyDescent="0.25">
      <c r="A366" s="83" t="s">
        <v>376</v>
      </c>
      <c r="B366" s="83"/>
      <c r="C366" s="83"/>
      <c r="D366" s="83" t="s">
        <v>103</v>
      </c>
      <c r="E366" s="83"/>
      <c r="F366" s="83"/>
      <c r="G366" s="83"/>
      <c r="H366" s="54" t="s">
        <v>50</v>
      </c>
    </row>
    <row r="367" spans="1:8" ht="15" customHeight="1" x14ac:dyDescent="0.25">
      <c r="A367" s="84" t="s">
        <v>190</v>
      </c>
      <c r="B367" s="84"/>
      <c r="C367" s="84"/>
      <c r="D367" s="62" t="s">
        <v>57</v>
      </c>
      <c r="E367" s="62" t="s">
        <v>191</v>
      </c>
      <c r="F367" s="62" t="s">
        <v>192</v>
      </c>
      <c r="G367" s="62" t="s">
        <v>193</v>
      </c>
      <c r="H367" s="62" t="s">
        <v>194</v>
      </c>
    </row>
    <row r="368" spans="1:8" ht="15" customHeight="1" x14ac:dyDescent="0.25">
      <c r="A368" s="85"/>
      <c r="B368" s="85"/>
      <c r="C368" s="85"/>
      <c r="D368" s="63" t="s">
        <v>195</v>
      </c>
      <c r="E368" s="53"/>
      <c r="F368" s="53"/>
      <c r="G368" s="53"/>
      <c r="H368" s="53"/>
    </row>
    <row r="369" spans="1:8" ht="15" customHeight="1" x14ac:dyDescent="0.25">
      <c r="A369" s="83" t="s">
        <v>234</v>
      </c>
      <c r="B369" s="83"/>
      <c r="C369" s="83"/>
      <c r="D369" s="61" t="s">
        <v>235</v>
      </c>
      <c r="E369" s="54" t="s">
        <v>50</v>
      </c>
      <c r="F369" s="55">
        <v>3.7461000000000001E-2</v>
      </c>
      <c r="G369" s="56">
        <v>4700</v>
      </c>
      <c r="H369" s="56">
        <v>176.07</v>
      </c>
    </row>
    <row r="370" spans="1:8" ht="15" customHeight="1" x14ac:dyDescent="0.25">
      <c r="A370" s="83" t="s">
        <v>236</v>
      </c>
      <c r="B370" s="83"/>
      <c r="C370" s="83"/>
      <c r="D370" s="61" t="s">
        <v>237</v>
      </c>
      <c r="E370" s="54" t="s">
        <v>50</v>
      </c>
      <c r="F370" s="55">
        <v>7.4393000000000001E-2</v>
      </c>
      <c r="G370" s="56">
        <v>4700</v>
      </c>
      <c r="H370" s="56">
        <v>349.65</v>
      </c>
    </row>
    <row r="371" spans="1:8" ht="15" customHeight="1" x14ac:dyDescent="0.25">
      <c r="A371" s="83" t="s">
        <v>232</v>
      </c>
      <c r="B371" s="83"/>
      <c r="C371" s="83"/>
      <c r="D371" s="61" t="s">
        <v>233</v>
      </c>
      <c r="E371" s="54" t="s">
        <v>50</v>
      </c>
      <c r="F371" s="55">
        <v>0.15932099999999999</v>
      </c>
      <c r="G371" s="56">
        <v>4700</v>
      </c>
      <c r="H371" s="56">
        <v>748.81</v>
      </c>
    </row>
    <row r="372" spans="1:8" ht="15" customHeight="1" x14ac:dyDescent="0.25">
      <c r="A372" s="83" t="s">
        <v>240</v>
      </c>
      <c r="B372" s="83"/>
      <c r="C372" s="83"/>
      <c r="D372" s="61" t="s">
        <v>241</v>
      </c>
      <c r="E372" s="54" t="s">
        <v>50</v>
      </c>
      <c r="F372" s="55">
        <v>7.8012999999999999E-2</v>
      </c>
      <c r="G372" s="56">
        <v>4700</v>
      </c>
      <c r="H372" s="56">
        <v>366.66</v>
      </c>
    </row>
    <row r="373" spans="1:8" ht="15" customHeight="1" x14ac:dyDescent="0.25">
      <c r="A373" s="83" t="s">
        <v>238</v>
      </c>
      <c r="B373" s="83"/>
      <c r="C373" s="83"/>
      <c r="D373" s="61" t="s">
        <v>239</v>
      </c>
      <c r="E373" s="54" t="s">
        <v>50</v>
      </c>
      <c r="F373" s="55">
        <v>7.4393000000000001E-2</v>
      </c>
      <c r="G373" s="56">
        <v>4700</v>
      </c>
      <c r="H373" s="56">
        <v>349.65</v>
      </c>
    </row>
    <row r="374" spans="1:8" ht="15" customHeight="1" x14ac:dyDescent="0.25">
      <c r="A374" s="83" t="s">
        <v>199</v>
      </c>
      <c r="B374" s="83"/>
      <c r="C374" s="83"/>
      <c r="D374" s="61" t="s">
        <v>200</v>
      </c>
      <c r="E374" s="54" t="s">
        <v>50</v>
      </c>
      <c r="F374" s="55">
        <v>0.57641900000000001</v>
      </c>
      <c r="G374" s="56">
        <v>4700</v>
      </c>
      <c r="H374" s="56">
        <v>2709.17</v>
      </c>
    </row>
    <row r="375" spans="1:8" ht="15" customHeight="1" x14ac:dyDescent="0.25">
      <c r="A375" s="83" t="s">
        <v>217</v>
      </c>
      <c r="B375" s="83"/>
      <c r="C375" s="83"/>
      <c r="D375" s="61" t="s">
        <v>409</v>
      </c>
      <c r="E375" s="54" t="s">
        <v>50</v>
      </c>
      <c r="F375" s="55">
        <v>0.15</v>
      </c>
      <c r="G375" s="56">
        <v>5100</v>
      </c>
      <c r="H375" s="56">
        <v>765</v>
      </c>
    </row>
    <row r="376" spans="1:8" ht="15" customHeight="1" x14ac:dyDescent="0.25">
      <c r="A376" s="85"/>
      <c r="B376" s="85"/>
      <c r="C376" s="85"/>
      <c r="D376" s="57" t="s">
        <v>196</v>
      </c>
      <c r="E376" s="58"/>
      <c r="F376" s="58"/>
      <c r="G376" s="58"/>
      <c r="H376" s="59">
        <v>5465.01</v>
      </c>
    </row>
    <row r="377" spans="1:8" ht="15" customHeight="1" x14ac:dyDescent="0.25">
      <c r="A377" s="85"/>
      <c r="B377" s="85"/>
      <c r="C377" s="85"/>
      <c r="D377" s="63" t="s">
        <v>201</v>
      </c>
      <c r="E377" s="53"/>
      <c r="F377" s="53"/>
      <c r="G377" s="53"/>
      <c r="H377" s="53"/>
    </row>
    <row r="378" spans="1:8" ht="15" customHeight="1" x14ac:dyDescent="0.25">
      <c r="A378" s="83" t="s">
        <v>242</v>
      </c>
      <c r="B378" s="83"/>
      <c r="C378" s="83"/>
      <c r="D378" s="61" t="s">
        <v>243</v>
      </c>
      <c r="E378" s="54" t="s">
        <v>50</v>
      </c>
      <c r="F378" s="55">
        <v>1</v>
      </c>
      <c r="G378" s="56">
        <v>212.41</v>
      </c>
      <c r="H378" s="56">
        <v>212.41</v>
      </c>
    </row>
    <row r="379" spans="1:8" ht="15" customHeight="1" x14ac:dyDescent="0.25">
      <c r="A379" s="85"/>
      <c r="B379" s="85"/>
      <c r="C379" s="85"/>
      <c r="D379" s="57" t="s">
        <v>202</v>
      </c>
      <c r="E379" s="58"/>
      <c r="F379" s="58"/>
      <c r="G379" s="58"/>
      <c r="H379" s="59">
        <v>212.41</v>
      </c>
    </row>
    <row r="380" spans="1:8" ht="15" customHeight="1" x14ac:dyDescent="0.25">
      <c r="A380" s="85"/>
      <c r="B380" s="85"/>
      <c r="C380" s="85"/>
      <c r="D380" s="63" t="s">
        <v>7</v>
      </c>
      <c r="E380" s="60"/>
      <c r="F380" s="60"/>
      <c r="G380" s="60"/>
      <c r="H380" s="59">
        <v>5677.42</v>
      </c>
    </row>
    <row r="381" spans="1:8" ht="15" customHeight="1" x14ac:dyDescent="0.25">
      <c r="A381" s="53"/>
      <c r="B381" s="53"/>
      <c r="C381" s="53"/>
      <c r="D381" s="53"/>
      <c r="E381" s="53"/>
      <c r="F381" s="53"/>
      <c r="G381" s="53"/>
      <c r="H381" s="53"/>
    </row>
    <row r="382" spans="1:8" ht="15" customHeight="1" x14ac:dyDescent="0.25">
      <c r="A382" s="53"/>
      <c r="B382" s="53"/>
      <c r="C382" s="53"/>
      <c r="D382" s="53"/>
      <c r="E382" s="53"/>
      <c r="F382" s="53"/>
      <c r="G382" s="53"/>
      <c r="H382" s="53"/>
    </row>
    <row r="383" spans="1:8" ht="15" customHeight="1" x14ac:dyDescent="0.25">
      <c r="A383" s="95"/>
      <c r="B383" s="95"/>
      <c r="C383" s="95"/>
      <c r="D383" s="95"/>
      <c r="E383" s="95"/>
      <c r="F383" s="95" t="s">
        <v>198</v>
      </c>
      <c r="G383" s="95"/>
      <c r="H383" s="95"/>
    </row>
    <row r="384" spans="1:8" ht="15" customHeight="1" x14ac:dyDescent="0.25">
      <c r="A384" s="65"/>
      <c r="B384" s="65"/>
      <c r="C384" s="65"/>
      <c r="D384" s="91"/>
      <c r="E384" s="91"/>
      <c r="F384" s="89" t="s">
        <v>184</v>
      </c>
      <c r="G384" s="90"/>
      <c r="H384" s="90"/>
    </row>
    <row r="385" spans="1:8" ht="15" customHeight="1" x14ac:dyDescent="0.25">
      <c r="A385" s="92"/>
      <c r="B385" s="53"/>
      <c r="C385" s="92"/>
      <c r="D385" s="91"/>
      <c r="E385" s="91"/>
      <c r="F385" s="89"/>
      <c r="G385" s="90"/>
      <c r="H385" s="90"/>
    </row>
    <row r="386" spans="1:8" ht="15" customHeight="1" x14ac:dyDescent="0.25">
      <c r="A386" s="92"/>
      <c r="B386" s="53"/>
      <c r="C386" s="92"/>
      <c r="D386" s="93"/>
      <c r="E386" s="93"/>
      <c r="F386" s="64" t="s">
        <v>185</v>
      </c>
      <c r="G386" s="94"/>
      <c r="H386" s="94"/>
    </row>
    <row r="387" spans="1:8" ht="15" customHeight="1" x14ac:dyDescent="0.25">
      <c r="A387" s="92"/>
      <c r="B387" s="53"/>
      <c r="C387" s="92"/>
      <c r="D387" s="87"/>
      <c r="E387" s="87"/>
      <c r="F387" s="64" t="s">
        <v>186</v>
      </c>
      <c r="G387" s="86">
        <v>44294</v>
      </c>
      <c r="H387" s="86"/>
    </row>
    <row r="388" spans="1:8" ht="15" customHeight="1" x14ac:dyDescent="0.25">
      <c r="A388" s="92"/>
      <c r="B388" s="53"/>
      <c r="C388" s="92"/>
      <c r="D388" s="87"/>
      <c r="E388" s="87"/>
      <c r="F388" s="64" t="s">
        <v>187</v>
      </c>
      <c r="G388" s="88" t="s">
        <v>426</v>
      </c>
      <c r="H388" s="88"/>
    </row>
    <row r="389" spans="1:8" ht="15" customHeight="1" x14ac:dyDescent="0.25">
      <c r="A389" s="92"/>
      <c r="B389" s="53"/>
      <c r="C389" s="92"/>
      <c r="D389" s="83"/>
      <c r="E389" s="83"/>
      <c r="F389" s="89"/>
      <c r="G389" s="89"/>
      <c r="H389" s="89"/>
    </row>
    <row r="390" spans="1:8" ht="15" customHeight="1" x14ac:dyDescent="0.25">
      <c r="A390" s="65"/>
      <c r="B390" s="65"/>
      <c r="C390" s="65"/>
      <c r="D390" s="83"/>
      <c r="E390" s="83"/>
      <c r="F390" s="89"/>
      <c r="G390" s="89"/>
      <c r="H390" s="89"/>
    </row>
    <row r="391" spans="1:8" ht="15" customHeight="1" x14ac:dyDescent="0.25">
      <c r="A391" s="90" t="s">
        <v>188</v>
      </c>
      <c r="B391" s="90"/>
      <c r="C391" s="90"/>
      <c r="D391" s="90"/>
      <c r="E391" s="90"/>
      <c r="F391" s="90"/>
      <c r="G391" s="90"/>
      <c r="H391" s="90"/>
    </row>
    <row r="392" spans="1:8" ht="15" customHeight="1" x14ac:dyDescent="0.25">
      <c r="A392" s="82" t="s">
        <v>189</v>
      </c>
      <c r="B392" s="82"/>
      <c r="C392" s="82"/>
      <c r="D392" s="82"/>
      <c r="E392" s="82"/>
      <c r="F392" s="82"/>
      <c r="G392" s="82"/>
      <c r="H392" s="82"/>
    </row>
    <row r="393" spans="1:8" ht="15" customHeight="1" x14ac:dyDescent="0.25">
      <c r="A393" s="83" t="s">
        <v>377</v>
      </c>
      <c r="B393" s="83"/>
      <c r="C393" s="83"/>
      <c r="D393" s="83" t="s">
        <v>378</v>
      </c>
      <c r="E393" s="83"/>
      <c r="F393" s="83"/>
      <c r="G393" s="83"/>
      <c r="H393" s="54" t="s">
        <v>54</v>
      </c>
    </row>
    <row r="394" spans="1:8" ht="15" customHeight="1" x14ac:dyDescent="0.25">
      <c r="A394" s="84" t="s">
        <v>190</v>
      </c>
      <c r="B394" s="84"/>
      <c r="C394" s="84"/>
      <c r="D394" s="62" t="s">
        <v>57</v>
      </c>
      <c r="E394" s="62" t="s">
        <v>191</v>
      </c>
      <c r="F394" s="62" t="s">
        <v>192</v>
      </c>
      <c r="G394" s="62" t="s">
        <v>193</v>
      </c>
      <c r="H394" s="62" t="s">
        <v>194</v>
      </c>
    </row>
    <row r="395" spans="1:8" ht="15" customHeight="1" x14ac:dyDescent="0.25">
      <c r="A395" s="85"/>
      <c r="B395" s="85"/>
      <c r="C395" s="85"/>
      <c r="D395" s="63" t="s">
        <v>195</v>
      </c>
      <c r="E395" s="53"/>
      <c r="F395" s="53"/>
      <c r="G395" s="53"/>
      <c r="H395" s="53"/>
    </row>
    <row r="396" spans="1:8" ht="15" customHeight="1" x14ac:dyDescent="0.25">
      <c r="A396" s="83" t="s">
        <v>217</v>
      </c>
      <c r="B396" s="83"/>
      <c r="C396" s="83"/>
      <c r="D396" s="61" t="s">
        <v>409</v>
      </c>
      <c r="E396" s="54" t="s">
        <v>50</v>
      </c>
      <c r="F396" s="55">
        <v>0.34173399999999998</v>
      </c>
      <c r="G396" s="56">
        <v>5100</v>
      </c>
      <c r="H396" s="56">
        <v>1742.84</v>
      </c>
    </row>
    <row r="397" spans="1:8" ht="15" customHeight="1" x14ac:dyDescent="0.25">
      <c r="A397" s="83" t="s">
        <v>222</v>
      </c>
      <c r="B397" s="83"/>
      <c r="C397" s="83"/>
      <c r="D397" s="61" t="s">
        <v>223</v>
      </c>
      <c r="E397" s="54" t="s">
        <v>51</v>
      </c>
      <c r="F397" s="55">
        <v>0</v>
      </c>
      <c r="G397" s="56">
        <v>330</v>
      </c>
      <c r="H397" s="56">
        <v>0</v>
      </c>
    </row>
    <row r="398" spans="1:8" ht="15" customHeight="1" x14ac:dyDescent="0.25">
      <c r="A398" s="83" t="s">
        <v>379</v>
      </c>
      <c r="B398" s="83"/>
      <c r="C398" s="83"/>
      <c r="D398" s="61" t="s">
        <v>380</v>
      </c>
      <c r="E398" s="54" t="s">
        <v>322</v>
      </c>
      <c r="F398" s="55">
        <v>26.38</v>
      </c>
      <c r="G398" s="56">
        <v>98.18</v>
      </c>
      <c r="H398" s="56">
        <v>2589.9899999999998</v>
      </c>
    </row>
    <row r="399" spans="1:8" ht="15" customHeight="1" x14ac:dyDescent="0.25">
      <c r="A399" s="83" t="s">
        <v>381</v>
      </c>
      <c r="B399" s="83"/>
      <c r="C399" s="83"/>
      <c r="D399" s="61" t="s">
        <v>382</v>
      </c>
      <c r="E399" s="54" t="s">
        <v>383</v>
      </c>
      <c r="F399" s="55">
        <v>0</v>
      </c>
      <c r="G399" s="56">
        <v>70245.990000000005</v>
      </c>
      <c r="H399" s="56">
        <v>0</v>
      </c>
    </row>
    <row r="400" spans="1:8" ht="15" customHeight="1" x14ac:dyDescent="0.25">
      <c r="A400" s="83" t="s">
        <v>384</v>
      </c>
      <c r="B400" s="83"/>
      <c r="C400" s="83"/>
      <c r="D400" s="61" t="s">
        <v>385</v>
      </c>
      <c r="E400" s="54" t="s">
        <v>51</v>
      </c>
      <c r="F400" s="55">
        <v>0</v>
      </c>
      <c r="G400" s="56">
        <v>26400</v>
      </c>
      <c r="H400" s="56">
        <v>0</v>
      </c>
    </row>
    <row r="401" spans="1:8" ht="15" customHeight="1" x14ac:dyDescent="0.25">
      <c r="A401" s="83" t="s">
        <v>306</v>
      </c>
      <c r="B401" s="83"/>
      <c r="C401" s="83"/>
      <c r="D401" s="61" t="s">
        <v>307</v>
      </c>
      <c r="E401" s="54" t="s">
        <v>50</v>
      </c>
      <c r="F401" s="55">
        <v>0</v>
      </c>
      <c r="G401" s="56">
        <v>5671.47</v>
      </c>
      <c r="H401" s="56">
        <v>0</v>
      </c>
    </row>
    <row r="402" spans="1:8" ht="15" customHeight="1" x14ac:dyDescent="0.25">
      <c r="A402" s="83" t="s">
        <v>218</v>
      </c>
      <c r="B402" s="83"/>
      <c r="C402" s="83"/>
      <c r="D402" s="61" t="s">
        <v>219</v>
      </c>
      <c r="E402" s="54" t="s">
        <v>208</v>
      </c>
      <c r="F402" s="55">
        <v>0</v>
      </c>
      <c r="G402" s="56">
        <v>3076.15</v>
      </c>
      <c r="H402" s="56">
        <v>0</v>
      </c>
    </row>
    <row r="403" spans="1:8" ht="15" customHeight="1" x14ac:dyDescent="0.25">
      <c r="A403" s="83" t="s">
        <v>308</v>
      </c>
      <c r="B403" s="83"/>
      <c r="C403" s="83"/>
      <c r="D403" s="61" t="s">
        <v>309</v>
      </c>
      <c r="E403" s="54" t="s">
        <v>208</v>
      </c>
      <c r="F403" s="55">
        <v>0</v>
      </c>
      <c r="G403" s="56">
        <v>2218.9299999999998</v>
      </c>
      <c r="H403" s="56">
        <v>0</v>
      </c>
    </row>
    <row r="404" spans="1:8" ht="15" customHeight="1" x14ac:dyDescent="0.25">
      <c r="A404" s="83" t="s">
        <v>282</v>
      </c>
      <c r="B404" s="83"/>
      <c r="C404" s="83"/>
      <c r="D404" s="61" t="s">
        <v>283</v>
      </c>
      <c r="E404" s="54" t="s">
        <v>51</v>
      </c>
      <c r="F404" s="55">
        <v>0</v>
      </c>
      <c r="G404" s="56">
        <v>160101.70000000001</v>
      </c>
      <c r="H404" s="56">
        <v>0</v>
      </c>
    </row>
    <row r="405" spans="1:8" ht="15" customHeight="1" x14ac:dyDescent="0.25">
      <c r="A405" s="83" t="s">
        <v>386</v>
      </c>
      <c r="B405" s="83"/>
      <c r="C405" s="83"/>
      <c r="D405" s="61" t="s">
        <v>387</v>
      </c>
      <c r="E405" s="54" t="s">
        <v>51</v>
      </c>
      <c r="F405" s="55">
        <v>0</v>
      </c>
      <c r="G405" s="56">
        <v>47553.64</v>
      </c>
      <c r="H405" s="56">
        <v>0</v>
      </c>
    </row>
    <row r="406" spans="1:8" ht="15" customHeight="1" x14ac:dyDescent="0.25">
      <c r="A406" s="83" t="s">
        <v>310</v>
      </c>
      <c r="B406" s="83"/>
      <c r="C406" s="83"/>
      <c r="D406" s="61" t="s">
        <v>311</v>
      </c>
      <c r="E406" s="54" t="s">
        <v>208</v>
      </c>
      <c r="F406" s="55">
        <v>0</v>
      </c>
      <c r="G406" s="56">
        <v>3076.15</v>
      </c>
      <c r="H406" s="56">
        <v>0</v>
      </c>
    </row>
    <row r="407" spans="1:8" ht="15" customHeight="1" x14ac:dyDescent="0.25">
      <c r="A407" s="83" t="s">
        <v>388</v>
      </c>
      <c r="B407" s="83"/>
      <c r="C407" s="83"/>
      <c r="D407" s="61" t="s">
        <v>389</v>
      </c>
      <c r="E407" s="54" t="s">
        <v>51</v>
      </c>
      <c r="F407" s="55">
        <v>0</v>
      </c>
      <c r="G407" s="56">
        <v>19800</v>
      </c>
      <c r="H407" s="56">
        <v>0</v>
      </c>
    </row>
    <row r="408" spans="1:8" ht="15" customHeight="1" x14ac:dyDescent="0.25">
      <c r="A408" s="83" t="s">
        <v>312</v>
      </c>
      <c r="B408" s="83"/>
      <c r="C408" s="83"/>
      <c r="D408" s="61" t="s">
        <v>313</v>
      </c>
      <c r="E408" s="54" t="s">
        <v>50</v>
      </c>
      <c r="F408" s="55">
        <v>0</v>
      </c>
      <c r="G408" s="56">
        <v>270466.89</v>
      </c>
      <c r="H408" s="56">
        <v>0</v>
      </c>
    </row>
    <row r="409" spans="1:8" ht="15" customHeight="1" x14ac:dyDescent="0.25">
      <c r="A409" s="83" t="s">
        <v>220</v>
      </c>
      <c r="B409" s="83"/>
      <c r="C409" s="83"/>
      <c r="D409" s="61" t="s">
        <v>221</v>
      </c>
      <c r="E409" s="54" t="s">
        <v>208</v>
      </c>
      <c r="F409" s="55">
        <v>0</v>
      </c>
      <c r="G409" s="56">
        <v>3076.15</v>
      </c>
      <c r="H409" s="56">
        <v>0</v>
      </c>
    </row>
    <row r="410" spans="1:8" ht="15" customHeight="1" x14ac:dyDescent="0.25">
      <c r="A410" s="83" t="s">
        <v>390</v>
      </c>
      <c r="B410" s="83"/>
      <c r="C410" s="83"/>
      <c r="D410" s="61" t="s">
        <v>391</v>
      </c>
      <c r="E410" s="54" t="s">
        <v>51</v>
      </c>
      <c r="F410" s="55">
        <v>0</v>
      </c>
      <c r="G410" s="56">
        <v>13200</v>
      </c>
      <c r="H410" s="56">
        <v>0</v>
      </c>
    </row>
    <row r="411" spans="1:8" ht="15" customHeight="1" x14ac:dyDescent="0.25">
      <c r="A411" s="83" t="s">
        <v>392</v>
      </c>
      <c r="B411" s="83"/>
      <c r="C411" s="83"/>
      <c r="D411" s="61" t="s">
        <v>393</v>
      </c>
      <c r="E411" s="54" t="s">
        <v>322</v>
      </c>
      <c r="F411" s="55">
        <v>1.5568310000000001</v>
      </c>
      <c r="G411" s="56">
        <v>91.58</v>
      </c>
      <c r="H411" s="56">
        <v>142.57</v>
      </c>
    </row>
    <row r="412" spans="1:8" ht="15" customHeight="1" x14ac:dyDescent="0.25">
      <c r="A412" s="83" t="s">
        <v>394</v>
      </c>
      <c r="B412" s="83"/>
      <c r="C412" s="83"/>
      <c r="D412" s="61" t="s">
        <v>395</v>
      </c>
      <c r="E412" s="54" t="s">
        <v>322</v>
      </c>
      <c r="F412" s="55">
        <v>16.6646</v>
      </c>
      <c r="G412" s="56">
        <v>18.329999999999998</v>
      </c>
      <c r="H412" s="56">
        <v>305.45999999999998</v>
      </c>
    </row>
    <row r="413" spans="1:8" ht="15" customHeight="1" x14ac:dyDescent="0.25">
      <c r="A413" s="83" t="s">
        <v>230</v>
      </c>
      <c r="B413" s="83"/>
      <c r="C413" s="83"/>
      <c r="D413" s="61" t="s">
        <v>231</v>
      </c>
      <c r="E413" s="54" t="s">
        <v>51</v>
      </c>
      <c r="F413" s="55">
        <v>0</v>
      </c>
      <c r="G413" s="56">
        <v>458.15</v>
      </c>
      <c r="H413" s="56">
        <v>0</v>
      </c>
    </row>
    <row r="414" spans="1:8" ht="15" customHeight="1" x14ac:dyDescent="0.25">
      <c r="A414" s="83" t="s">
        <v>396</v>
      </c>
      <c r="B414" s="83"/>
      <c r="C414" s="83"/>
      <c r="D414" s="61" t="s">
        <v>397</v>
      </c>
      <c r="E414" s="54" t="s">
        <v>50</v>
      </c>
      <c r="F414" s="55">
        <v>0</v>
      </c>
      <c r="G414" s="56">
        <v>397698.54</v>
      </c>
      <c r="H414" s="56">
        <v>0</v>
      </c>
    </row>
    <row r="415" spans="1:8" ht="15" customHeight="1" x14ac:dyDescent="0.25">
      <c r="A415" s="83" t="s">
        <v>228</v>
      </c>
      <c r="B415" s="83"/>
      <c r="C415" s="83"/>
      <c r="D415" s="61" t="s">
        <v>229</v>
      </c>
      <c r="E415" s="54" t="s">
        <v>51</v>
      </c>
      <c r="F415" s="55">
        <v>0</v>
      </c>
      <c r="G415" s="56">
        <v>550</v>
      </c>
      <c r="H415" s="56">
        <v>0</v>
      </c>
    </row>
    <row r="416" spans="1:8" ht="15" customHeight="1" x14ac:dyDescent="0.25">
      <c r="A416" s="83" t="s">
        <v>398</v>
      </c>
      <c r="B416" s="83"/>
      <c r="C416" s="83"/>
      <c r="D416" s="61" t="s">
        <v>399</v>
      </c>
      <c r="E416" s="54" t="s">
        <v>322</v>
      </c>
      <c r="F416" s="55">
        <v>0</v>
      </c>
      <c r="G416" s="56">
        <v>72</v>
      </c>
      <c r="H416" s="56">
        <v>0</v>
      </c>
    </row>
    <row r="417" spans="1:8" ht="15" customHeight="1" x14ac:dyDescent="0.25">
      <c r="A417" s="83" t="s">
        <v>400</v>
      </c>
      <c r="B417" s="83"/>
      <c r="C417" s="83"/>
      <c r="D417" s="61" t="s">
        <v>401</v>
      </c>
      <c r="E417" s="54" t="s">
        <v>322</v>
      </c>
      <c r="F417" s="55">
        <v>0</v>
      </c>
      <c r="G417" s="56">
        <v>366.52</v>
      </c>
      <c r="H417" s="56">
        <v>0</v>
      </c>
    </row>
    <row r="418" spans="1:8" ht="15" customHeight="1" x14ac:dyDescent="0.25">
      <c r="A418" s="83" t="s">
        <v>226</v>
      </c>
      <c r="B418" s="83"/>
      <c r="C418" s="83"/>
      <c r="D418" s="61" t="s">
        <v>227</v>
      </c>
      <c r="E418" s="54" t="s">
        <v>51</v>
      </c>
      <c r="F418" s="55">
        <v>0</v>
      </c>
      <c r="G418" s="56">
        <v>297.36</v>
      </c>
      <c r="H418" s="56">
        <v>0</v>
      </c>
    </row>
    <row r="419" spans="1:8" ht="15" customHeight="1" x14ac:dyDescent="0.25">
      <c r="A419" s="83" t="s">
        <v>224</v>
      </c>
      <c r="B419" s="83"/>
      <c r="C419" s="83"/>
      <c r="D419" s="61" t="s">
        <v>225</v>
      </c>
      <c r="E419" s="54" t="s">
        <v>51</v>
      </c>
      <c r="F419" s="55">
        <v>0</v>
      </c>
      <c r="G419" s="56">
        <v>550</v>
      </c>
      <c r="H419" s="56">
        <v>0</v>
      </c>
    </row>
    <row r="420" spans="1:8" ht="15" customHeight="1" x14ac:dyDescent="0.25">
      <c r="A420" s="83" t="s">
        <v>402</v>
      </c>
      <c r="B420" s="83"/>
      <c r="C420" s="83"/>
      <c r="D420" s="61" t="s">
        <v>403</v>
      </c>
      <c r="E420" s="54" t="s">
        <v>322</v>
      </c>
      <c r="F420" s="55">
        <v>0</v>
      </c>
      <c r="G420" s="56">
        <v>85.09</v>
      </c>
      <c r="H420" s="56">
        <v>0</v>
      </c>
    </row>
    <row r="421" spans="1:8" ht="15" customHeight="1" x14ac:dyDescent="0.25">
      <c r="A421" s="83" t="s">
        <v>404</v>
      </c>
      <c r="B421" s="83"/>
      <c r="C421" s="83"/>
      <c r="D421" s="61" t="s">
        <v>405</v>
      </c>
      <c r="E421" s="54" t="s">
        <v>51</v>
      </c>
      <c r="F421" s="55">
        <v>0</v>
      </c>
      <c r="G421" s="56">
        <v>73720.259999999995</v>
      </c>
      <c r="H421" s="56">
        <v>0</v>
      </c>
    </row>
    <row r="422" spans="1:8" ht="15" customHeight="1" x14ac:dyDescent="0.25">
      <c r="A422" s="83" t="s">
        <v>406</v>
      </c>
      <c r="B422" s="83"/>
      <c r="C422" s="83"/>
      <c r="D422" s="61" t="s">
        <v>403</v>
      </c>
      <c r="E422" s="54" t="s">
        <v>322</v>
      </c>
      <c r="F422" s="55">
        <v>0</v>
      </c>
      <c r="G422" s="56">
        <v>85.09</v>
      </c>
      <c r="H422" s="56">
        <v>0</v>
      </c>
    </row>
    <row r="423" spans="1:8" ht="15" customHeight="1" x14ac:dyDescent="0.25">
      <c r="A423" s="83" t="s">
        <v>278</v>
      </c>
      <c r="B423" s="83"/>
      <c r="C423" s="83"/>
      <c r="D423" s="61" t="s">
        <v>279</v>
      </c>
      <c r="E423" s="54" t="s">
        <v>51</v>
      </c>
      <c r="F423" s="55">
        <v>0</v>
      </c>
      <c r="G423" s="56">
        <v>3927</v>
      </c>
      <c r="H423" s="56">
        <v>0</v>
      </c>
    </row>
    <row r="424" spans="1:8" ht="15" customHeight="1" x14ac:dyDescent="0.25">
      <c r="A424" s="83" t="s">
        <v>407</v>
      </c>
      <c r="B424" s="83"/>
      <c r="C424" s="83"/>
      <c r="D424" s="61" t="s">
        <v>408</v>
      </c>
      <c r="E424" s="54" t="s">
        <v>77</v>
      </c>
      <c r="F424" s="55">
        <v>0</v>
      </c>
      <c r="G424" s="56">
        <v>750727.21</v>
      </c>
      <c r="H424" s="56">
        <v>0</v>
      </c>
    </row>
    <row r="425" spans="1:8" ht="15" customHeight="1" x14ac:dyDescent="0.25">
      <c r="A425" s="85"/>
      <c r="B425" s="85"/>
      <c r="C425" s="85"/>
      <c r="D425" s="57" t="s">
        <v>196</v>
      </c>
      <c r="E425" s="58"/>
      <c r="F425" s="58"/>
      <c r="G425" s="58"/>
      <c r="H425" s="59">
        <v>4780.8599999999997</v>
      </c>
    </row>
    <row r="426" spans="1:8" ht="15" customHeight="1" x14ac:dyDescent="0.25">
      <c r="A426" s="85"/>
      <c r="B426" s="85"/>
      <c r="C426" s="85"/>
      <c r="D426" s="63" t="s">
        <v>7</v>
      </c>
      <c r="E426" s="60"/>
      <c r="F426" s="60"/>
      <c r="G426" s="60"/>
      <c r="H426" s="59">
        <v>4780.8599999999997</v>
      </c>
    </row>
    <row r="427" spans="1:8" ht="15" customHeight="1" x14ac:dyDescent="0.25">
      <c r="A427" s="53"/>
      <c r="B427" s="53"/>
      <c r="C427" s="53"/>
      <c r="D427" s="53"/>
      <c r="E427" s="53"/>
      <c r="F427" s="53"/>
      <c r="G427" s="53"/>
      <c r="H427" s="53"/>
    </row>
    <row r="428" spans="1:8" ht="15" customHeight="1" x14ac:dyDescent="0.25">
      <c r="A428" s="95"/>
      <c r="B428" s="95"/>
      <c r="C428" s="95"/>
      <c r="D428" s="95"/>
      <c r="E428" s="95"/>
      <c r="F428" s="95" t="s">
        <v>198</v>
      </c>
      <c r="G428" s="95"/>
      <c r="H428" s="95"/>
    </row>
    <row r="429" spans="1:8" ht="15" customHeight="1" x14ac:dyDescent="0.25">
      <c r="A429" s="65"/>
      <c r="B429" s="65"/>
      <c r="C429" s="65"/>
      <c r="D429" s="91"/>
      <c r="E429" s="91"/>
      <c r="F429" s="89" t="s">
        <v>184</v>
      </c>
      <c r="G429" s="90"/>
      <c r="H429" s="90"/>
    </row>
    <row r="430" spans="1:8" ht="15" customHeight="1" x14ac:dyDescent="0.25">
      <c r="A430" s="92"/>
      <c r="B430" s="53"/>
      <c r="C430" s="92"/>
      <c r="D430" s="91"/>
      <c r="E430" s="91"/>
      <c r="F430" s="89"/>
      <c r="G430" s="90"/>
      <c r="H430" s="90"/>
    </row>
    <row r="431" spans="1:8" ht="15" customHeight="1" x14ac:dyDescent="0.25">
      <c r="A431" s="92"/>
      <c r="B431" s="53"/>
      <c r="C431" s="92"/>
      <c r="D431" s="93"/>
      <c r="E431" s="93"/>
      <c r="F431" s="64" t="s">
        <v>185</v>
      </c>
      <c r="G431" s="94"/>
      <c r="H431" s="94"/>
    </row>
    <row r="432" spans="1:8" ht="15" customHeight="1" x14ac:dyDescent="0.25">
      <c r="A432" s="92"/>
      <c r="B432" s="53"/>
      <c r="C432" s="92"/>
      <c r="D432" s="87"/>
      <c r="E432" s="87"/>
      <c r="F432" s="64" t="s">
        <v>186</v>
      </c>
      <c r="G432" s="86">
        <v>44294</v>
      </c>
      <c r="H432" s="86"/>
    </row>
    <row r="433" spans="1:8" ht="15" customHeight="1" x14ac:dyDescent="0.25">
      <c r="A433" s="92"/>
      <c r="B433" s="53"/>
      <c r="C433" s="92"/>
      <c r="D433" s="87"/>
      <c r="E433" s="87"/>
      <c r="F433" s="64" t="s">
        <v>187</v>
      </c>
      <c r="G433" s="88" t="s">
        <v>427</v>
      </c>
      <c r="H433" s="88"/>
    </row>
    <row r="434" spans="1:8" ht="15" customHeight="1" x14ac:dyDescent="0.25">
      <c r="A434" s="92"/>
      <c r="B434" s="53"/>
      <c r="C434" s="92"/>
      <c r="D434" s="83"/>
      <c r="E434" s="83"/>
      <c r="F434" s="89"/>
      <c r="G434" s="89"/>
      <c r="H434" s="89"/>
    </row>
    <row r="435" spans="1:8" ht="15" customHeight="1" x14ac:dyDescent="0.25">
      <c r="A435" s="65"/>
      <c r="B435" s="65"/>
      <c r="C435" s="65"/>
      <c r="D435" s="83"/>
      <c r="E435" s="83"/>
      <c r="F435" s="89"/>
      <c r="G435" s="89"/>
      <c r="H435" s="89"/>
    </row>
  </sheetData>
  <mergeCells count="541">
    <mergeCell ref="D429:E430"/>
    <mergeCell ref="F429:F430"/>
    <mergeCell ref="G429:H430"/>
    <mergeCell ref="A430:A434"/>
    <mergeCell ref="C430:C434"/>
    <mergeCell ref="D431:E431"/>
    <mergeCell ref="G431:H431"/>
    <mergeCell ref="A420:C420"/>
    <mergeCell ref="A421:C421"/>
    <mergeCell ref="A422:C422"/>
    <mergeCell ref="A423:C423"/>
    <mergeCell ref="A424:C424"/>
    <mergeCell ref="A425:C425"/>
    <mergeCell ref="D432:E432"/>
    <mergeCell ref="G432:H432"/>
    <mergeCell ref="D433:E433"/>
    <mergeCell ref="G433:H433"/>
    <mergeCell ref="D434:E435"/>
    <mergeCell ref="F434:H435"/>
    <mergeCell ref="A396:C396"/>
    <mergeCell ref="A397:C397"/>
    <mergeCell ref="A398:C398"/>
    <mergeCell ref="A399:C399"/>
    <mergeCell ref="A400:C400"/>
    <mergeCell ref="A401:C401"/>
    <mergeCell ref="A426:C426"/>
    <mergeCell ref="A428:E428"/>
    <mergeCell ref="F428:H428"/>
    <mergeCell ref="A414:C414"/>
    <mergeCell ref="A415:C415"/>
    <mergeCell ref="A416:C416"/>
    <mergeCell ref="A417:C417"/>
    <mergeCell ref="A418:C418"/>
    <mergeCell ref="A419:C419"/>
    <mergeCell ref="A408:C408"/>
    <mergeCell ref="A409:C409"/>
    <mergeCell ref="A410:C410"/>
    <mergeCell ref="A411:C411"/>
    <mergeCell ref="A412:C412"/>
    <mergeCell ref="A413:C413"/>
    <mergeCell ref="A402:C402"/>
    <mergeCell ref="A403:C403"/>
    <mergeCell ref="A404:C404"/>
    <mergeCell ref="A405:C405"/>
    <mergeCell ref="A406:C406"/>
    <mergeCell ref="A407:C407"/>
    <mergeCell ref="A395:C395"/>
    <mergeCell ref="G386:H386"/>
    <mergeCell ref="D387:E387"/>
    <mergeCell ref="G387:H387"/>
    <mergeCell ref="D388:E388"/>
    <mergeCell ref="G388:H388"/>
    <mergeCell ref="D389:E390"/>
    <mergeCell ref="F389:H390"/>
    <mergeCell ref="A379:C379"/>
    <mergeCell ref="A380:C380"/>
    <mergeCell ref="A383:E383"/>
    <mergeCell ref="F383:H383"/>
    <mergeCell ref="D384:E385"/>
    <mergeCell ref="F384:F385"/>
    <mergeCell ref="G384:H385"/>
    <mergeCell ref="A385:A389"/>
    <mergeCell ref="C385:C389"/>
    <mergeCell ref="D386:E386"/>
    <mergeCell ref="A364:H364"/>
    <mergeCell ref="A365:H365"/>
    <mergeCell ref="A366:C366"/>
    <mergeCell ref="D366:G366"/>
    <mergeCell ref="A391:H391"/>
    <mergeCell ref="A392:H392"/>
    <mergeCell ref="A393:C393"/>
    <mergeCell ref="D393:G393"/>
    <mergeCell ref="A394:C394"/>
    <mergeCell ref="A373:C373"/>
    <mergeCell ref="A374:C374"/>
    <mergeCell ref="A375:C375"/>
    <mergeCell ref="A376:C376"/>
    <mergeCell ref="A377:C377"/>
    <mergeCell ref="A378:C378"/>
    <mergeCell ref="A367:C367"/>
    <mergeCell ref="A368:C368"/>
    <mergeCell ref="A369:C369"/>
    <mergeCell ref="A370:C370"/>
    <mergeCell ref="A371:C371"/>
    <mergeCell ref="A372:C372"/>
    <mergeCell ref="A351:C351"/>
    <mergeCell ref="A352:C352"/>
    <mergeCell ref="A353:C353"/>
    <mergeCell ref="A354:C354"/>
    <mergeCell ref="A356:E356"/>
    <mergeCell ref="F356:H356"/>
    <mergeCell ref="A345:C345"/>
    <mergeCell ref="A346:C346"/>
    <mergeCell ref="A347:C347"/>
    <mergeCell ref="A348:C348"/>
    <mergeCell ref="A349:C349"/>
    <mergeCell ref="A350:C350"/>
    <mergeCell ref="D357:E358"/>
    <mergeCell ref="F357:F358"/>
    <mergeCell ref="G357:H358"/>
    <mergeCell ref="A358:A362"/>
    <mergeCell ref="C358:C362"/>
    <mergeCell ref="D359:E359"/>
    <mergeCell ref="G359:H359"/>
    <mergeCell ref="D360:E360"/>
    <mergeCell ref="G360:H360"/>
    <mergeCell ref="D361:E361"/>
    <mergeCell ref="G361:H361"/>
    <mergeCell ref="D362:E363"/>
    <mergeCell ref="F362:H363"/>
    <mergeCell ref="D329:E330"/>
    <mergeCell ref="F329:F330"/>
    <mergeCell ref="G329:H330"/>
    <mergeCell ref="A330:A334"/>
    <mergeCell ref="C330:C334"/>
    <mergeCell ref="D331:E331"/>
    <mergeCell ref="G331:H331"/>
    <mergeCell ref="D332:E332"/>
    <mergeCell ref="G332:H332"/>
    <mergeCell ref="D333:E333"/>
    <mergeCell ref="A339:C339"/>
    <mergeCell ref="A340:C340"/>
    <mergeCell ref="A341:C341"/>
    <mergeCell ref="A342:C342"/>
    <mergeCell ref="A343:C343"/>
    <mergeCell ref="A344:C344"/>
    <mergeCell ref="G333:H333"/>
    <mergeCell ref="D334:E335"/>
    <mergeCell ref="F334:H335"/>
    <mergeCell ref="A336:H336"/>
    <mergeCell ref="A337:H337"/>
    <mergeCell ref="A338:C338"/>
    <mergeCell ref="D338:G338"/>
    <mergeCell ref="D296:G296"/>
    <mergeCell ref="A297:C297"/>
    <mergeCell ref="A298:C298"/>
    <mergeCell ref="A299:C299"/>
    <mergeCell ref="A322:C322"/>
    <mergeCell ref="A323:C323"/>
    <mergeCell ref="A324:C324"/>
    <mergeCell ref="A325:C325"/>
    <mergeCell ref="A328:E328"/>
    <mergeCell ref="F328:H328"/>
    <mergeCell ref="A317:C317"/>
    <mergeCell ref="D317:G317"/>
    <mergeCell ref="A318:C318"/>
    <mergeCell ref="A319:C319"/>
    <mergeCell ref="A320:C320"/>
    <mergeCell ref="A321:C321"/>
    <mergeCell ref="D312:E312"/>
    <mergeCell ref="G312:H312"/>
    <mergeCell ref="D313:E314"/>
    <mergeCell ref="F313:H314"/>
    <mergeCell ref="A315:H315"/>
    <mergeCell ref="A316:H316"/>
    <mergeCell ref="A278:C278"/>
    <mergeCell ref="A279:C279"/>
    <mergeCell ref="A280:C280"/>
    <mergeCell ref="A281:C281"/>
    <mergeCell ref="A282:C282"/>
    <mergeCell ref="A283:C283"/>
    <mergeCell ref="F307:H307"/>
    <mergeCell ref="D308:E309"/>
    <mergeCell ref="F308:F309"/>
    <mergeCell ref="G308:H309"/>
    <mergeCell ref="A309:A313"/>
    <mergeCell ref="C309:C313"/>
    <mergeCell ref="D310:E310"/>
    <mergeCell ref="G310:H310"/>
    <mergeCell ref="D311:E311"/>
    <mergeCell ref="G311:H311"/>
    <mergeCell ref="A300:C300"/>
    <mergeCell ref="A301:C301"/>
    <mergeCell ref="A302:C302"/>
    <mergeCell ref="A303:C303"/>
    <mergeCell ref="A304:C304"/>
    <mergeCell ref="A307:E307"/>
    <mergeCell ref="A295:H295"/>
    <mergeCell ref="A296:C296"/>
    <mergeCell ref="G290:H290"/>
    <mergeCell ref="D291:E291"/>
    <mergeCell ref="G291:H291"/>
    <mergeCell ref="D292:E293"/>
    <mergeCell ref="F292:H293"/>
    <mergeCell ref="A294:H294"/>
    <mergeCell ref="A286:E286"/>
    <mergeCell ref="F286:H286"/>
    <mergeCell ref="D287:E288"/>
    <mergeCell ref="F287:F288"/>
    <mergeCell ref="G287:H288"/>
    <mergeCell ref="A288:A292"/>
    <mergeCell ref="C288:C292"/>
    <mergeCell ref="D289:E289"/>
    <mergeCell ref="G289:H289"/>
    <mergeCell ref="D290:E290"/>
    <mergeCell ref="A262:C262"/>
    <mergeCell ref="A265:E265"/>
    <mergeCell ref="F265:H265"/>
    <mergeCell ref="D266:E267"/>
    <mergeCell ref="F266:F267"/>
    <mergeCell ref="G266:H267"/>
    <mergeCell ref="A267:A271"/>
    <mergeCell ref="C267:C271"/>
    <mergeCell ref="D268:E268"/>
    <mergeCell ref="G268:H268"/>
    <mergeCell ref="A273:H273"/>
    <mergeCell ref="A274:H274"/>
    <mergeCell ref="A275:C275"/>
    <mergeCell ref="D275:G275"/>
    <mergeCell ref="A276:C276"/>
    <mergeCell ref="A277:C277"/>
    <mergeCell ref="D269:E269"/>
    <mergeCell ref="G269:H269"/>
    <mergeCell ref="D270:E270"/>
    <mergeCell ref="G270:H270"/>
    <mergeCell ref="D271:E272"/>
    <mergeCell ref="F271:H272"/>
    <mergeCell ref="A256:C256"/>
    <mergeCell ref="A257:C257"/>
    <mergeCell ref="A258:C258"/>
    <mergeCell ref="A259:C259"/>
    <mergeCell ref="A260:C260"/>
    <mergeCell ref="A261:C261"/>
    <mergeCell ref="A251:H251"/>
    <mergeCell ref="A252:H252"/>
    <mergeCell ref="A253:C253"/>
    <mergeCell ref="D253:G253"/>
    <mergeCell ref="A254:C254"/>
    <mergeCell ref="A255:C255"/>
    <mergeCell ref="A234:C234"/>
    <mergeCell ref="A235:C235"/>
    <mergeCell ref="A236:C236"/>
    <mergeCell ref="A237:C237"/>
    <mergeCell ref="A238:C238"/>
    <mergeCell ref="A239:C239"/>
    <mergeCell ref="A228:C228"/>
    <mergeCell ref="A229:C229"/>
    <mergeCell ref="A230:C230"/>
    <mergeCell ref="A231:C231"/>
    <mergeCell ref="A232:C232"/>
    <mergeCell ref="A233:C233"/>
    <mergeCell ref="A240:C240"/>
    <mergeCell ref="A241:C241"/>
    <mergeCell ref="A243:E243"/>
    <mergeCell ref="F243:H243"/>
    <mergeCell ref="D244:E245"/>
    <mergeCell ref="F244:F245"/>
    <mergeCell ref="G244:H245"/>
    <mergeCell ref="A245:A249"/>
    <mergeCell ref="C245:C249"/>
    <mergeCell ref="D246:E246"/>
    <mergeCell ref="G246:H246"/>
    <mergeCell ref="D247:E247"/>
    <mergeCell ref="G247:H247"/>
    <mergeCell ref="D248:E248"/>
    <mergeCell ref="G248:H248"/>
    <mergeCell ref="D249:E250"/>
    <mergeCell ref="F249:H250"/>
    <mergeCell ref="A226:C226"/>
    <mergeCell ref="A227:C227"/>
    <mergeCell ref="G218:H218"/>
    <mergeCell ref="D219:E219"/>
    <mergeCell ref="G219:H219"/>
    <mergeCell ref="D220:E220"/>
    <mergeCell ref="G220:H220"/>
    <mergeCell ref="D221:E222"/>
    <mergeCell ref="F221:H222"/>
    <mergeCell ref="A217:A221"/>
    <mergeCell ref="C217:C221"/>
    <mergeCell ref="D218:E218"/>
    <mergeCell ref="A194:C194"/>
    <mergeCell ref="A195:C195"/>
    <mergeCell ref="A196:C196"/>
    <mergeCell ref="A197:C197"/>
    <mergeCell ref="A198:C198"/>
    <mergeCell ref="A199:C199"/>
    <mergeCell ref="A223:H223"/>
    <mergeCell ref="A224:H224"/>
    <mergeCell ref="A225:C225"/>
    <mergeCell ref="D225:G225"/>
    <mergeCell ref="A212:C212"/>
    <mergeCell ref="A213:C213"/>
    <mergeCell ref="A215:E215"/>
    <mergeCell ref="F215:H215"/>
    <mergeCell ref="D216:E217"/>
    <mergeCell ref="F216:F217"/>
    <mergeCell ref="G216:H217"/>
    <mergeCell ref="A206:C206"/>
    <mergeCell ref="A207:C207"/>
    <mergeCell ref="A208:C208"/>
    <mergeCell ref="A209:C209"/>
    <mergeCell ref="A210:C210"/>
    <mergeCell ref="A211:C211"/>
    <mergeCell ref="A200:C200"/>
    <mergeCell ref="A201:C201"/>
    <mergeCell ref="A202:C202"/>
    <mergeCell ref="A203:C203"/>
    <mergeCell ref="A204:C204"/>
    <mergeCell ref="A205:C205"/>
    <mergeCell ref="A164:H164"/>
    <mergeCell ref="A188:C188"/>
    <mergeCell ref="A189:C189"/>
    <mergeCell ref="A190:C190"/>
    <mergeCell ref="A191:C191"/>
    <mergeCell ref="A192:C192"/>
    <mergeCell ref="A193:C193"/>
    <mergeCell ref="A182:C182"/>
    <mergeCell ref="A183:C183"/>
    <mergeCell ref="A184:C184"/>
    <mergeCell ref="A185:C185"/>
    <mergeCell ref="A186:C186"/>
    <mergeCell ref="A187:C187"/>
    <mergeCell ref="A176:C176"/>
    <mergeCell ref="A177:C177"/>
    <mergeCell ref="A178:C178"/>
    <mergeCell ref="A179:C179"/>
    <mergeCell ref="A180:C180"/>
    <mergeCell ref="A181:C181"/>
    <mergeCell ref="A170:C170"/>
    <mergeCell ref="A171:C171"/>
    <mergeCell ref="A172:C172"/>
    <mergeCell ref="A173:C173"/>
    <mergeCell ref="A174:C174"/>
    <mergeCell ref="A175:C175"/>
    <mergeCell ref="A165:H165"/>
    <mergeCell ref="A166:C166"/>
    <mergeCell ref="D166:G166"/>
    <mergeCell ref="A167:C167"/>
    <mergeCell ref="A168:C168"/>
    <mergeCell ref="A169:C169"/>
    <mergeCell ref="A148:C148"/>
    <mergeCell ref="A149:C149"/>
    <mergeCell ref="A150:C150"/>
    <mergeCell ref="A151:C151"/>
    <mergeCell ref="A152:C152"/>
    <mergeCell ref="A153:C153"/>
    <mergeCell ref="A142:C142"/>
    <mergeCell ref="A143:C143"/>
    <mergeCell ref="A144:C144"/>
    <mergeCell ref="A145:C145"/>
    <mergeCell ref="A146:C146"/>
    <mergeCell ref="A147:C147"/>
    <mergeCell ref="A156:E156"/>
    <mergeCell ref="F156:H156"/>
    <mergeCell ref="D157:E158"/>
    <mergeCell ref="F157:F158"/>
    <mergeCell ref="G157:H158"/>
    <mergeCell ref="A158:A162"/>
    <mergeCell ref="C158:C162"/>
    <mergeCell ref="D159:E159"/>
    <mergeCell ref="G159:H159"/>
    <mergeCell ref="D160:E160"/>
    <mergeCell ref="G160:H160"/>
    <mergeCell ref="D161:E161"/>
    <mergeCell ref="G161:H161"/>
    <mergeCell ref="D162:E163"/>
    <mergeCell ref="F162:H163"/>
    <mergeCell ref="A114:H114"/>
    <mergeCell ref="A137:H137"/>
    <mergeCell ref="A138:H138"/>
    <mergeCell ref="A139:C139"/>
    <mergeCell ref="D139:G139"/>
    <mergeCell ref="A140:C140"/>
    <mergeCell ref="A141:C141"/>
    <mergeCell ref="D133:E133"/>
    <mergeCell ref="G133:H133"/>
    <mergeCell ref="D134:E134"/>
    <mergeCell ref="G134:H134"/>
    <mergeCell ref="D135:E136"/>
    <mergeCell ref="F135:H136"/>
    <mergeCell ref="A126:C126"/>
    <mergeCell ref="A129:E129"/>
    <mergeCell ref="F129:H129"/>
    <mergeCell ref="D130:E131"/>
    <mergeCell ref="F130:F131"/>
    <mergeCell ref="G130:H131"/>
    <mergeCell ref="A131:A135"/>
    <mergeCell ref="C131:C135"/>
    <mergeCell ref="D132:E132"/>
    <mergeCell ref="G132:H132"/>
    <mergeCell ref="A120:C120"/>
    <mergeCell ref="A121:C121"/>
    <mergeCell ref="A122:C122"/>
    <mergeCell ref="A123:C123"/>
    <mergeCell ref="A124:C124"/>
    <mergeCell ref="A125:C125"/>
    <mergeCell ref="A115:H115"/>
    <mergeCell ref="A116:C116"/>
    <mergeCell ref="D116:G116"/>
    <mergeCell ref="A117:C117"/>
    <mergeCell ref="A118:C118"/>
    <mergeCell ref="A119:C119"/>
    <mergeCell ref="A98:C98"/>
    <mergeCell ref="A99:C99"/>
    <mergeCell ref="A100:C100"/>
    <mergeCell ref="A101:C101"/>
    <mergeCell ref="A102:C102"/>
    <mergeCell ref="A103:C103"/>
    <mergeCell ref="A93:H93"/>
    <mergeCell ref="A94:H94"/>
    <mergeCell ref="A95:C95"/>
    <mergeCell ref="D95:G95"/>
    <mergeCell ref="A96:C96"/>
    <mergeCell ref="A97:C97"/>
    <mergeCell ref="A106:E106"/>
    <mergeCell ref="F106:H106"/>
    <mergeCell ref="D107:E108"/>
    <mergeCell ref="F107:F108"/>
    <mergeCell ref="G107:H108"/>
    <mergeCell ref="A108:A112"/>
    <mergeCell ref="C108:C112"/>
    <mergeCell ref="D109:E109"/>
    <mergeCell ref="G109:H109"/>
    <mergeCell ref="D110:E110"/>
    <mergeCell ref="G110:H110"/>
    <mergeCell ref="D111:E111"/>
    <mergeCell ref="G111:H111"/>
    <mergeCell ref="D112:E113"/>
    <mergeCell ref="F112:H113"/>
    <mergeCell ref="G88:H88"/>
    <mergeCell ref="D89:E89"/>
    <mergeCell ref="G89:H89"/>
    <mergeCell ref="D90:E90"/>
    <mergeCell ref="G90:H90"/>
    <mergeCell ref="D91:E92"/>
    <mergeCell ref="F91:H92"/>
    <mergeCell ref="A81:C81"/>
    <mergeCell ref="A82:C82"/>
    <mergeCell ref="A85:E85"/>
    <mergeCell ref="F85:H85"/>
    <mergeCell ref="D86:E87"/>
    <mergeCell ref="F86:F87"/>
    <mergeCell ref="G86:H87"/>
    <mergeCell ref="A87:A91"/>
    <mergeCell ref="C87:C91"/>
    <mergeCell ref="D88:E88"/>
    <mergeCell ref="A75:C75"/>
    <mergeCell ref="A76:C76"/>
    <mergeCell ref="A77:C77"/>
    <mergeCell ref="A78:C78"/>
    <mergeCell ref="A79:C79"/>
    <mergeCell ref="A80:C80"/>
    <mergeCell ref="A70:H70"/>
    <mergeCell ref="A71:H71"/>
    <mergeCell ref="A72:C72"/>
    <mergeCell ref="D72:G72"/>
    <mergeCell ref="A73:C73"/>
    <mergeCell ref="A74:C74"/>
    <mergeCell ref="D63:E64"/>
    <mergeCell ref="F63:F64"/>
    <mergeCell ref="G63:H64"/>
    <mergeCell ref="A64:A68"/>
    <mergeCell ref="C64:C68"/>
    <mergeCell ref="D65:E65"/>
    <mergeCell ref="G65:H65"/>
    <mergeCell ref="A53:C53"/>
    <mergeCell ref="A54:C54"/>
    <mergeCell ref="A55:C55"/>
    <mergeCell ref="A56:C56"/>
    <mergeCell ref="A57:C57"/>
    <mergeCell ref="A58:C58"/>
    <mergeCell ref="D66:E66"/>
    <mergeCell ref="G66:H66"/>
    <mergeCell ref="D67:E67"/>
    <mergeCell ref="G67:H67"/>
    <mergeCell ref="D68:E69"/>
    <mergeCell ref="F68:H69"/>
    <mergeCell ref="A31:C31"/>
    <mergeCell ref="A32:C32"/>
    <mergeCell ref="A33:C33"/>
    <mergeCell ref="A34:C34"/>
    <mergeCell ref="A35:C35"/>
    <mergeCell ref="A36:C36"/>
    <mergeCell ref="A59:C59"/>
    <mergeCell ref="A62:E62"/>
    <mergeCell ref="F62:H62"/>
    <mergeCell ref="A48:H48"/>
    <mergeCell ref="A49:C49"/>
    <mergeCell ref="D49:G49"/>
    <mergeCell ref="A50:C50"/>
    <mergeCell ref="A51:C51"/>
    <mergeCell ref="A52:C52"/>
    <mergeCell ref="G43:H43"/>
    <mergeCell ref="D44:E44"/>
    <mergeCell ref="G44:H44"/>
    <mergeCell ref="D45:E46"/>
    <mergeCell ref="F45:H46"/>
    <mergeCell ref="A47:H47"/>
    <mergeCell ref="A39:E39"/>
    <mergeCell ref="F39:H39"/>
    <mergeCell ref="D40:E41"/>
    <mergeCell ref="F40:F41"/>
    <mergeCell ref="G40:H41"/>
    <mergeCell ref="A41:A45"/>
    <mergeCell ref="C41:C45"/>
    <mergeCell ref="D42:E42"/>
    <mergeCell ref="G42:H42"/>
    <mergeCell ref="D43:E43"/>
    <mergeCell ref="A27:H27"/>
    <mergeCell ref="A28:C28"/>
    <mergeCell ref="D28:G28"/>
    <mergeCell ref="A29:C29"/>
    <mergeCell ref="A30:C30"/>
    <mergeCell ref="G21:H21"/>
    <mergeCell ref="D22:E22"/>
    <mergeCell ref="G22:H22"/>
    <mergeCell ref="D23:E23"/>
    <mergeCell ref="G23:H23"/>
    <mergeCell ref="D24:E25"/>
    <mergeCell ref="F24:H25"/>
    <mergeCell ref="A20:A24"/>
    <mergeCell ref="C20:C24"/>
    <mergeCell ref="D21:E21"/>
    <mergeCell ref="D1:E2"/>
    <mergeCell ref="F1:F2"/>
    <mergeCell ref="G1:H2"/>
    <mergeCell ref="A2:A6"/>
    <mergeCell ref="C2:C6"/>
    <mergeCell ref="D3:E3"/>
    <mergeCell ref="G3:H3"/>
    <mergeCell ref="D4:E4"/>
    <mergeCell ref="A26:H26"/>
    <mergeCell ref="A14:C14"/>
    <mergeCell ref="A15:C15"/>
    <mergeCell ref="A18:E18"/>
    <mergeCell ref="F18:H18"/>
    <mergeCell ref="D19:E20"/>
    <mergeCell ref="F19:F20"/>
    <mergeCell ref="G19:H20"/>
    <mergeCell ref="A9:H9"/>
    <mergeCell ref="A10:C10"/>
    <mergeCell ref="D10:G10"/>
    <mergeCell ref="A11:C11"/>
    <mergeCell ref="A12:C12"/>
    <mergeCell ref="A13:C13"/>
    <mergeCell ref="G4:H4"/>
    <mergeCell ref="D5:E5"/>
    <mergeCell ref="G5:H5"/>
    <mergeCell ref="D6:E7"/>
    <mergeCell ref="F6:H7"/>
    <mergeCell ref="A8:H8"/>
  </mergeCells>
  <pageMargins left="0.35" right="0.35" top="0.38999999999999996" bottom="0.38999999999999996" header="0.3" footer="0.3"/>
  <pageSetup orientation="portrait"/>
  <rowBreaks count="16" manualBreakCount="16">
    <brk id="18" max="16383" man="1"/>
    <brk id="39" max="16383" man="1"/>
    <brk id="62" max="16383" man="1"/>
    <brk id="85" max="16383" man="1"/>
    <brk id="106" max="16383" man="1"/>
    <brk id="129" max="16383" man="1"/>
    <brk id="156" max="16383" man="1"/>
    <brk id="215" max="16383" man="1"/>
    <brk id="243" max="16383" man="1"/>
    <brk id="265" max="16383" man="1"/>
    <brk id="286" max="16383" man="1"/>
    <brk id="307" max="16383" man="1"/>
    <brk id="328" max="16383" man="1"/>
    <brk id="356" max="16383" man="1"/>
    <brk id="383" max="16383" man="1"/>
    <brk id="428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EDS</vt:lpstr>
      <vt:lpstr>4.</vt:lpstr>
      <vt:lpstr>Original</vt:lpstr>
      <vt:lpstr>APU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</dc:creator>
  <cp:lastModifiedBy>steven parra cuesta ´Soniting´</cp:lastModifiedBy>
  <dcterms:created xsi:type="dcterms:W3CDTF">2021-04-05T15:03:03Z</dcterms:created>
  <dcterms:modified xsi:type="dcterms:W3CDTF">2021-05-11T01:56:23Z</dcterms:modified>
</cp:coreProperties>
</file>